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F:\11\论文_test\New Folder (2)\50\relevant\"/>
    </mc:Choice>
  </mc:AlternateContent>
  <xr:revisionPtr revIDLastSave="0" documentId="13_ncr:1_{F476002B-F4E0-4F13-887F-908BA2D5CB2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" sheetId="8" r:id="rId1"/>
    <sheet name="v0" sheetId="1" r:id="rId2"/>
    <sheet name="κ" sheetId="2" r:id="rId3"/>
    <sheet name="omega" sheetId="3" r:id="rId4"/>
    <sheet name="beta" sheetId="4" r:id="rId5"/>
    <sheet name="Sigmaxy" sheetId="5" r:id="rId6"/>
    <sheet name="Sigmav" sheetId="6" r:id="rId7"/>
    <sheet name="λ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" i="4" l="1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" i="4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0" i="3"/>
  <c r="A9" i="3"/>
  <c r="A8" i="3"/>
  <c r="A7" i="3"/>
  <c r="A6" i="3"/>
  <c r="A5" i="3"/>
  <c r="A4" i="3"/>
  <c r="A3" i="3"/>
  <c r="A2" i="3"/>
  <c r="A1" i="3"/>
  <c r="A11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4ABF-1FD1-4AA6-91C4-84F998028318}">
  <dimension ref="A1:G30"/>
  <sheetViews>
    <sheetView tabSelected="1" workbookViewId="0">
      <selection activeCell="G25" sqref="G25:G30"/>
    </sheetView>
  </sheetViews>
  <sheetFormatPr defaultRowHeight="14.25" x14ac:dyDescent="0.2"/>
  <sheetData>
    <row r="1" spans="1:7" x14ac:dyDescent="0.2">
      <c r="A1">
        <v>1</v>
      </c>
      <c r="B1">
        <v>23</v>
      </c>
      <c r="C1">
        <v>0.27596154655507699</v>
      </c>
      <c r="D1">
        <v>78.060788980086301</v>
      </c>
      <c r="E1">
        <v>1.17504532162904</v>
      </c>
      <c r="F1">
        <v>3.3193785162053602</v>
      </c>
      <c r="G1">
        <v>0.371868199106615</v>
      </c>
    </row>
    <row r="2" spans="1:7" x14ac:dyDescent="0.2">
      <c r="A2">
        <v>3</v>
      </c>
      <c r="B2">
        <v>24.6666666666666</v>
      </c>
      <c r="C2">
        <v>0.215702913273282</v>
      </c>
      <c r="D2" s="1">
        <v>120.57331040624599</v>
      </c>
      <c r="E2">
        <v>0.31872461239842698</v>
      </c>
      <c r="F2">
        <v>17.7523988665057</v>
      </c>
      <c r="G2">
        <v>0.51033819110420098</v>
      </c>
    </row>
    <row r="3" spans="1:7" x14ac:dyDescent="0.2">
      <c r="A3">
        <v>5</v>
      </c>
      <c r="B3">
        <v>24.1999999999999</v>
      </c>
      <c r="C3">
        <v>0.66652921649730201</v>
      </c>
      <c r="D3" s="1">
        <v>133.748634641732</v>
      </c>
      <c r="E3">
        <v>0.68539588433672405</v>
      </c>
      <c r="F3">
        <v>6.2520960189692802</v>
      </c>
      <c r="G3">
        <v>0.43506374766261802</v>
      </c>
    </row>
    <row r="4" spans="1:7" x14ac:dyDescent="0.2">
      <c r="A4">
        <v>7</v>
      </c>
      <c r="B4">
        <v>25.857142857142801</v>
      </c>
      <c r="C4">
        <v>0.14833346337857301</v>
      </c>
      <c r="D4" s="1">
        <v>113.831101558621</v>
      </c>
      <c r="E4">
        <v>0.74060248210044</v>
      </c>
      <c r="F4">
        <v>6.9061342142406197</v>
      </c>
      <c r="G4">
        <v>7.8744001869349003E-2</v>
      </c>
    </row>
    <row r="5" spans="1:7" x14ac:dyDescent="0.2">
      <c r="A5">
        <v>9</v>
      </c>
      <c r="B5">
        <v>26.5555555555555</v>
      </c>
      <c r="C5">
        <v>0.14864863072772</v>
      </c>
      <c r="D5" s="1">
        <v>120.74554564651901</v>
      </c>
      <c r="E5">
        <v>0.70454129488841399</v>
      </c>
      <c r="F5">
        <v>8.6056299286024505</v>
      </c>
      <c r="G5">
        <v>0.31964116629628903</v>
      </c>
    </row>
    <row r="6" spans="1:7" x14ac:dyDescent="0.2">
      <c r="A6">
        <v>11</v>
      </c>
      <c r="B6">
        <v>19.272727272727199</v>
      </c>
      <c r="C6">
        <v>0.20527365861437499</v>
      </c>
      <c r="D6" s="1">
        <v>133.12931486523601</v>
      </c>
      <c r="E6">
        <v>0.78002392692977396</v>
      </c>
      <c r="F6">
        <v>7.5361345772743897</v>
      </c>
      <c r="G6">
        <v>0.516790521943714</v>
      </c>
    </row>
    <row r="7" spans="1:7" x14ac:dyDescent="0.2">
      <c r="A7">
        <v>13</v>
      </c>
      <c r="B7">
        <v>27.692307692307601</v>
      </c>
      <c r="C7">
        <v>0.198579099115955</v>
      </c>
      <c r="D7" s="1">
        <v>136.328958047203</v>
      </c>
      <c r="E7">
        <v>0.27633123534982601</v>
      </c>
      <c r="F7">
        <v>16.782569690776899</v>
      </c>
      <c r="G7">
        <v>0.31702928976472</v>
      </c>
    </row>
    <row r="8" spans="1:7" x14ac:dyDescent="0.2">
      <c r="A8">
        <v>15</v>
      </c>
      <c r="B8">
        <v>26.066666666666599</v>
      </c>
      <c r="C8">
        <v>0.145069951725145</v>
      </c>
      <c r="D8" s="1">
        <v>112.216632499401</v>
      </c>
      <c r="E8">
        <v>0.11206820473304099</v>
      </c>
      <c r="F8">
        <v>16.694090632781801</v>
      </c>
      <c r="G8">
        <v>0.32150910663445698</v>
      </c>
    </row>
    <row r="9" spans="1:7" x14ac:dyDescent="0.2">
      <c r="A9">
        <v>17</v>
      </c>
      <c r="B9">
        <v>30.411764705882302</v>
      </c>
      <c r="C9">
        <v>0.174179160722643</v>
      </c>
      <c r="D9" s="1">
        <v>118.427684200755</v>
      </c>
      <c r="E9">
        <v>0.57243843249676096</v>
      </c>
      <c r="F9">
        <v>10.4522845771927</v>
      </c>
      <c r="G9">
        <v>0.18960965790496601</v>
      </c>
    </row>
    <row r="10" spans="1:7" x14ac:dyDescent="0.2">
      <c r="A10">
        <v>19</v>
      </c>
      <c r="B10">
        <v>27.8947368421052</v>
      </c>
      <c r="C10">
        <v>0.123625471734175</v>
      </c>
      <c r="D10" s="1">
        <v>116.389591859571</v>
      </c>
      <c r="E10">
        <v>4.2944028067365997E-2</v>
      </c>
      <c r="F10">
        <v>20.624974514664299</v>
      </c>
      <c r="G10">
        <v>0.45845880526260202</v>
      </c>
    </row>
    <row r="11" spans="1:7" x14ac:dyDescent="0.2">
      <c r="A11">
        <v>21</v>
      </c>
      <c r="B11">
        <v>28.047619047619001</v>
      </c>
      <c r="C11">
        <v>0.109144862585597</v>
      </c>
      <c r="D11" s="1">
        <v>127.525904301463</v>
      </c>
      <c r="E11">
        <v>0.44242827839561</v>
      </c>
      <c r="F11">
        <v>11.0399392904545</v>
      </c>
      <c r="G11">
        <v>0.101370817881841</v>
      </c>
    </row>
    <row r="12" spans="1:7" x14ac:dyDescent="0.2">
      <c r="A12">
        <v>23</v>
      </c>
      <c r="B12">
        <v>25.956521739130402</v>
      </c>
      <c r="C12">
        <v>0.32984551636382597</v>
      </c>
      <c r="D12" s="1">
        <v>114.44205742338301</v>
      </c>
      <c r="E12">
        <v>0.19164343607512799</v>
      </c>
      <c r="F12">
        <v>20.5833513379743</v>
      </c>
      <c r="G12">
        <v>0.31626398853860899</v>
      </c>
    </row>
    <row r="13" spans="1:7" x14ac:dyDescent="0.2">
      <c r="A13">
        <v>25</v>
      </c>
      <c r="B13">
        <v>27.719999999999899</v>
      </c>
      <c r="C13">
        <v>9.9445805585994002E-2</v>
      </c>
      <c r="D13" s="1">
        <v>118.151976347497</v>
      </c>
      <c r="E13">
        <v>0.34925696995849598</v>
      </c>
      <c r="F13">
        <v>12.375025050813701</v>
      </c>
      <c r="G13">
        <v>0.34120337987307497</v>
      </c>
    </row>
    <row r="14" spans="1:7" x14ac:dyDescent="0.2">
      <c r="A14">
        <v>27</v>
      </c>
      <c r="B14">
        <v>30.592592592592499</v>
      </c>
      <c r="C14">
        <v>7.1397083628253005E-2</v>
      </c>
      <c r="D14" s="1">
        <v>122.272523709759</v>
      </c>
      <c r="E14">
        <v>0.31555041075430401</v>
      </c>
      <c r="F14">
        <v>13.4752293629316</v>
      </c>
      <c r="G14">
        <v>0.235822100052514</v>
      </c>
    </row>
    <row r="15" spans="1:7" x14ac:dyDescent="0.2">
      <c r="A15">
        <v>29</v>
      </c>
      <c r="B15">
        <v>30.137931034482701</v>
      </c>
      <c r="C15">
        <v>0.21472123651632699</v>
      </c>
      <c r="D15" s="1">
        <v>121.60439272429301</v>
      </c>
      <c r="E15">
        <v>0.53217435818254299</v>
      </c>
      <c r="F15">
        <v>12.126925436306699</v>
      </c>
      <c r="G15">
        <v>0.207077949421485</v>
      </c>
    </row>
    <row r="16" spans="1:7" x14ac:dyDescent="0.2">
      <c r="A16">
        <v>31</v>
      </c>
      <c r="B16">
        <v>30.612903225806399</v>
      </c>
      <c r="C16">
        <v>0.14624885307850599</v>
      </c>
      <c r="D16" s="1">
        <v>107.233324505113</v>
      </c>
      <c r="E16">
        <v>0.247017175419741</v>
      </c>
      <c r="F16">
        <v>14.5365759095982</v>
      </c>
      <c r="G16">
        <v>0.30531846296717402</v>
      </c>
    </row>
    <row r="17" spans="1:7" x14ac:dyDescent="0.2">
      <c r="A17">
        <v>33</v>
      </c>
      <c r="B17">
        <v>25.3333333333333</v>
      </c>
      <c r="C17">
        <v>0.19373691754783301</v>
      </c>
      <c r="D17" s="1">
        <v>110.899803288529</v>
      </c>
      <c r="E17">
        <v>0.42597045538605099</v>
      </c>
      <c r="F17">
        <v>12.524680426546301</v>
      </c>
      <c r="G17">
        <v>0.37836223173747302</v>
      </c>
    </row>
    <row r="18" spans="1:7" x14ac:dyDescent="0.2">
      <c r="A18">
        <v>35</v>
      </c>
      <c r="B18">
        <v>27.314285714285699</v>
      </c>
      <c r="C18">
        <v>0.25317999734066099</v>
      </c>
      <c r="D18" s="1">
        <v>124.12558041594301</v>
      </c>
      <c r="E18">
        <v>0.44604933744188202</v>
      </c>
      <c r="F18">
        <v>15.1232298159767</v>
      </c>
      <c r="G18">
        <v>0.13951225214753801</v>
      </c>
    </row>
    <row r="19" spans="1:7" x14ac:dyDescent="0.2">
      <c r="A19">
        <v>37</v>
      </c>
      <c r="B19">
        <v>27.054054054053999</v>
      </c>
      <c r="C19">
        <v>0.26151595244311199</v>
      </c>
      <c r="D19" s="1">
        <v>123.829217984949</v>
      </c>
      <c r="E19">
        <v>0.28340781575333501</v>
      </c>
      <c r="F19">
        <v>16.438777784261902</v>
      </c>
      <c r="G19">
        <v>0.42528307541301502</v>
      </c>
    </row>
    <row r="20" spans="1:7" x14ac:dyDescent="0.2">
      <c r="A20">
        <v>39</v>
      </c>
      <c r="B20">
        <v>26.205128205128201</v>
      </c>
      <c r="C20">
        <v>0.14651123831392299</v>
      </c>
      <c r="D20" s="1">
        <v>131.084585736571</v>
      </c>
      <c r="E20">
        <v>0.34126358152924602</v>
      </c>
      <c r="F20">
        <v>16.259526346889501</v>
      </c>
      <c r="G20">
        <v>0.289079290756804</v>
      </c>
    </row>
    <row r="21" spans="1:7" x14ac:dyDescent="0.2">
      <c r="A21">
        <v>41</v>
      </c>
      <c r="B21">
        <v>25.341463414634099</v>
      </c>
      <c r="C21">
        <v>0.46487758084384001</v>
      </c>
      <c r="D21" s="1">
        <v>126.661333835691</v>
      </c>
      <c r="E21">
        <v>0.22704716190348501</v>
      </c>
      <c r="F21">
        <v>17.4141203215666</v>
      </c>
      <c r="G21">
        <v>0.16720984736596101</v>
      </c>
    </row>
    <row r="22" spans="1:7" x14ac:dyDescent="0.2">
      <c r="A22">
        <v>43</v>
      </c>
      <c r="B22">
        <v>27.232558139534799</v>
      </c>
      <c r="C22">
        <v>0.15847888870758001</v>
      </c>
      <c r="D22" s="1">
        <v>118.730773345229</v>
      </c>
      <c r="E22">
        <v>0.29567704800646499</v>
      </c>
      <c r="F22">
        <v>16.709235648579298</v>
      </c>
      <c r="G22">
        <v>6.8109636663014006E-2</v>
      </c>
    </row>
    <row r="23" spans="1:7" x14ac:dyDescent="0.2">
      <c r="A23">
        <v>45</v>
      </c>
      <c r="B23">
        <v>26.911111111111101</v>
      </c>
      <c r="C23">
        <v>0.23363405446029201</v>
      </c>
      <c r="D23" s="1">
        <v>122.14624775147</v>
      </c>
      <c r="E23">
        <v>0.34253612580542597</v>
      </c>
      <c r="F23">
        <v>17.714458055276801</v>
      </c>
      <c r="G23">
        <v>0.25607220555608901</v>
      </c>
    </row>
    <row r="24" spans="1:7" x14ac:dyDescent="0.2">
      <c r="A24">
        <v>47</v>
      </c>
      <c r="B24">
        <v>30.234042553191401</v>
      </c>
      <c r="C24">
        <v>0.27591434570819601</v>
      </c>
      <c r="D24" s="1">
        <v>120.951196057351</v>
      </c>
      <c r="E24">
        <v>0.35234094097670798</v>
      </c>
      <c r="F24">
        <v>16.564434696885399</v>
      </c>
      <c r="G24">
        <v>0.149928785906776</v>
      </c>
    </row>
    <row r="25" spans="1:7" x14ac:dyDescent="0.2">
      <c r="A25">
        <v>49</v>
      </c>
      <c r="B25">
        <v>28.775510204081598</v>
      </c>
      <c r="C25">
        <v>0.32729341773381099</v>
      </c>
      <c r="D25" s="1">
        <v>114.165463797876</v>
      </c>
      <c r="E25">
        <v>0.14034996709842701</v>
      </c>
      <c r="F25">
        <v>25.0016979581453</v>
      </c>
      <c r="G25">
        <v>0.249505954005731</v>
      </c>
    </row>
    <row r="26" spans="1:7" x14ac:dyDescent="0.2">
      <c r="A26">
        <v>51</v>
      </c>
      <c r="B26">
        <v>26.960784313725402</v>
      </c>
      <c r="C26">
        <v>0.32064902414008201</v>
      </c>
      <c r="D26" s="1">
        <v>124.286959455846</v>
      </c>
      <c r="E26">
        <v>0.17029235317528699</v>
      </c>
      <c r="F26">
        <v>19.992590620461801</v>
      </c>
      <c r="G26">
        <v>0.126725567948231</v>
      </c>
    </row>
    <row r="27" spans="1:7" x14ac:dyDescent="0.2">
      <c r="A27">
        <v>53</v>
      </c>
      <c r="B27">
        <v>26.584905660377299</v>
      </c>
      <c r="C27">
        <v>0.24262644422282101</v>
      </c>
      <c r="D27" s="1">
        <v>123.002507509238</v>
      </c>
      <c r="E27">
        <v>1.3512876948631E-2</v>
      </c>
      <c r="F27">
        <v>21.894696532593301</v>
      </c>
      <c r="G27">
        <v>7.1116021086033002E-2</v>
      </c>
    </row>
    <row r="28" spans="1:7" x14ac:dyDescent="0.2">
      <c r="A28">
        <v>55</v>
      </c>
      <c r="B28">
        <v>29.309090909090902</v>
      </c>
      <c r="C28">
        <v>0.40707009535085398</v>
      </c>
      <c r="D28" s="1">
        <v>123.761178185828</v>
      </c>
      <c r="E28">
        <v>0.21146468002038099</v>
      </c>
      <c r="F28">
        <v>21.9680306349033</v>
      </c>
      <c r="G28">
        <v>0.194588157476071</v>
      </c>
    </row>
    <row r="29" spans="1:7" x14ac:dyDescent="0.2">
      <c r="A29">
        <v>57</v>
      </c>
      <c r="B29">
        <v>26.245614035087701</v>
      </c>
      <c r="C29">
        <v>0.23103514785260301</v>
      </c>
      <c r="D29" s="1">
        <v>120.99333677246899</v>
      </c>
      <c r="E29">
        <v>0.545776852952223</v>
      </c>
      <c r="F29">
        <v>13.040851411903301</v>
      </c>
      <c r="G29">
        <v>0.20927569999249199</v>
      </c>
    </row>
    <row r="30" spans="1:7" x14ac:dyDescent="0.2">
      <c r="A30">
        <v>59</v>
      </c>
      <c r="B30">
        <v>27.084745762711801</v>
      </c>
      <c r="C30">
        <v>0.170464762748156</v>
      </c>
      <c r="D30" s="1">
        <v>117.77170919464599</v>
      </c>
      <c r="E30">
        <v>0.34169580966920599</v>
      </c>
      <c r="F30">
        <v>15.696238877297301</v>
      </c>
      <c r="G30">
        <v>0.35565999197854797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I28" sqref="I28"/>
    </sheetView>
  </sheetViews>
  <sheetFormatPr defaultRowHeight="14.25" x14ac:dyDescent="0.2"/>
  <sheetData>
    <row r="1" spans="1:7" x14ac:dyDescent="0.2">
      <c r="A1">
        <v>0</v>
      </c>
      <c r="B1" s="1">
        <v>177.62</v>
      </c>
      <c r="C1">
        <v>8.3026208280817998E-2</v>
      </c>
      <c r="D1" s="1">
        <v>60.120699207409999</v>
      </c>
      <c r="E1">
        <v>0.25018757571042799</v>
      </c>
      <c r="F1">
        <v>15.834077622517601</v>
      </c>
      <c r="G1">
        <v>0.31975457564193199</v>
      </c>
    </row>
    <row r="2" spans="1:7" x14ac:dyDescent="0.2">
      <c r="A2">
        <v>0.1</v>
      </c>
      <c r="B2" s="1">
        <v>175.52</v>
      </c>
      <c r="C2">
        <v>7.3024230698945994E-2</v>
      </c>
      <c r="D2" s="1">
        <v>62.271311464669402</v>
      </c>
      <c r="E2">
        <v>0.25784178218709503</v>
      </c>
      <c r="F2">
        <v>18.775603375743</v>
      </c>
      <c r="G2">
        <v>0.33057132885973101</v>
      </c>
    </row>
    <row r="3" spans="1:7" x14ac:dyDescent="0.2">
      <c r="A3">
        <v>0.2</v>
      </c>
      <c r="B3" s="1">
        <v>169.82</v>
      </c>
      <c r="C3">
        <v>8.2282571571687002E-2</v>
      </c>
      <c r="D3" s="1">
        <v>66.852092429290295</v>
      </c>
      <c r="E3">
        <v>8.2357142873289005E-2</v>
      </c>
      <c r="F3">
        <v>20.307448779140799</v>
      </c>
      <c r="G3">
        <v>0.34566578234022399</v>
      </c>
    </row>
    <row r="4" spans="1:7" x14ac:dyDescent="0.2">
      <c r="A4">
        <v>0.3</v>
      </c>
      <c r="B4" s="1">
        <v>167.32</v>
      </c>
      <c r="C4">
        <v>8.3467935823402006E-2</v>
      </c>
      <c r="D4" s="1">
        <v>62.895273495859101</v>
      </c>
      <c r="E4">
        <v>0.331069078969844</v>
      </c>
      <c r="F4">
        <v>13.905575394754599</v>
      </c>
      <c r="G4">
        <v>0.33502725872553302</v>
      </c>
    </row>
    <row r="5" spans="1:7" x14ac:dyDescent="0.2">
      <c r="A5">
        <v>0.4</v>
      </c>
      <c r="B5" s="1">
        <v>155.80000000000001</v>
      </c>
      <c r="C5">
        <v>0.105038500930972</v>
      </c>
      <c r="D5" s="1">
        <v>68.475303144510306</v>
      </c>
      <c r="E5">
        <v>0.1331162647286</v>
      </c>
      <c r="F5">
        <v>16.7298894548682</v>
      </c>
      <c r="G5">
        <v>0.119211744519246</v>
      </c>
    </row>
    <row r="6" spans="1:7" x14ac:dyDescent="0.2">
      <c r="A6">
        <v>0.5</v>
      </c>
      <c r="B6" s="1">
        <v>142.04</v>
      </c>
      <c r="C6">
        <v>7.2539870488494002E-2</v>
      </c>
      <c r="D6" s="1">
        <v>72.727397786052606</v>
      </c>
      <c r="E6">
        <v>0.35302233561190099</v>
      </c>
      <c r="F6">
        <v>14.2476365229594</v>
      </c>
      <c r="G6">
        <v>0.17505085091331701</v>
      </c>
    </row>
    <row r="7" spans="1:7" x14ac:dyDescent="0.2">
      <c r="A7">
        <v>0.6</v>
      </c>
      <c r="B7" s="1">
        <v>132.28</v>
      </c>
      <c r="C7">
        <v>7.7150247113018003E-2</v>
      </c>
      <c r="D7">
        <v>79.699402801625695</v>
      </c>
      <c r="E7">
        <v>-1.8534289650767002E-2</v>
      </c>
      <c r="F7">
        <v>27.661833095711099</v>
      </c>
      <c r="G7">
        <v>0.22467973518089801</v>
      </c>
    </row>
    <row r="8" spans="1:7" x14ac:dyDescent="0.2">
      <c r="A8">
        <v>0.7</v>
      </c>
      <c r="B8" s="1">
        <v>122.96</v>
      </c>
      <c r="C8">
        <v>6.8882538092691001E-2</v>
      </c>
      <c r="D8">
        <v>84.250157259964894</v>
      </c>
      <c r="E8">
        <v>-6.3975864655332004E-2</v>
      </c>
      <c r="F8">
        <v>26.3861077868726</v>
      </c>
      <c r="G8">
        <v>0.19927677541750299</v>
      </c>
    </row>
    <row r="9" spans="1:7" x14ac:dyDescent="0.2">
      <c r="A9">
        <v>0.8</v>
      </c>
      <c r="B9" s="1">
        <v>103.06</v>
      </c>
      <c r="C9">
        <v>0.11217403281480701</v>
      </c>
      <c r="D9">
        <v>93.288988443999301</v>
      </c>
      <c r="E9">
        <v>0.29780821872837299</v>
      </c>
      <c r="F9">
        <v>16.972007315051901</v>
      </c>
      <c r="G9">
        <v>0.129702353903483</v>
      </c>
    </row>
    <row r="10" spans="1:7" x14ac:dyDescent="0.2">
      <c r="A10">
        <v>0.9</v>
      </c>
      <c r="B10" s="1">
        <v>104.14</v>
      </c>
      <c r="C10">
        <v>4.8035760233090002E-2</v>
      </c>
      <c r="D10">
        <v>96.877414073414897</v>
      </c>
      <c r="E10">
        <v>0.27892009812930102</v>
      </c>
      <c r="F10">
        <v>19.272827444696201</v>
      </c>
      <c r="G10">
        <v>0.327880308773707</v>
      </c>
    </row>
    <row r="11" spans="1:7" x14ac:dyDescent="0.2">
      <c r="A11">
        <v>1</v>
      </c>
      <c r="B11">
        <v>87.719999999999899</v>
      </c>
      <c r="C11">
        <v>7.4152219913329001E-2</v>
      </c>
      <c r="D11">
        <v>99.290634480432004</v>
      </c>
      <c r="E11">
        <v>5.7220098139177E-2</v>
      </c>
      <c r="F11">
        <v>23.579418560216698</v>
      </c>
      <c r="G11">
        <v>0.27767769004454901</v>
      </c>
    </row>
    <row r="12" spans="1:7" x14ac:dyDescent="0.2">
      <c r="A12">
        <v>1.1000000000000001</v>
      </c>
      <c r="B12">
        <v>74.760000000000005</v>
      </c>
      <c r="C12">
        <v>0.13067385422019001</v>
      </c>
      <c r="D12" s="1">
        <v>104.389620121186</v>
      </c>
      <c r="E12">
        <v>7.9074447576947995E-2</v>
      </c>
      <c r="F12">
        <v>21.307329089025</v>
      </c>
      <c r="G12">
        <v>0.39397952301912098</v>
      </c>
    </row>
    <row r="13" spans="1:7" x14ac:dyDescent="0.2">
      <c r="A13">
        <v>1.2</v>
      </c>
      <c r="B13">
        <v>71.64</v>
      </c>
      <c r="C13">
        <v>8.7904950885316996E-2</v>
      </c>
      <c r="D13" s="1">
        <v>107.25731482494901</v>
      </c>
      <c r="E13">
        <v>0.18479086927803501</v>
      </c>
      <c r="F13">
        <v>19.8923353966265</v>
      </c>
      <c r="G13">
        <v>0.44931849252302403</v>
      </c>
    </row>
    <row r="14" spans="1:7" x14ac:dyDescent="0.2">
      <c r="A14">
        <v>1.3</v>
      </c>
      <c r="B14">
        <v>65.34</v>
      </c>
      <c r="C14">
        <v>0.12927055110008601</v>
      </c>
      <c r="D14" s="1">
        <v>109.06656046508</v>
      </c>
      <c r="E14">
        <v>0.261390538322326</v>
      </c>
      <c r="F14">
        <v>19.0262534832633</v>
      </c>
      <c r="G14">
        <v>0.30191832423328901</v>
      </c>
    </row>
    <row r="15" spans="1:7" x14ac:dyDescent="0.2">
      <c r="A15">
        <v>1.4</v>
      </c>
      <c r="B15">
        <v>59.659999999999897</v>
      </c>
      <c r="C15">
        <v>9.4502267567991002E-2</v>
      </c>
      <c r="D15" s="1">
        <v>111.845464687565</v>
      </c>
      <c r="E15">
        <v>0.39767281792554099</v>
      </c>
      <c r="F15">
        <v>17.6874332999868</v>
      </c>
      <c r="G15">
        <v>0.24475470580806999</v>
      </c>
    </row>
    <row r="16" spans="1:7" x14ac:dyDescent="0.2">
      <c r="A16">
        <v>1.5</v>
      </c>
      <c r="B16">
        <v>47.52</v>
      </c>
      <c r="C16">
        <v>0.14257486226251001</v>
      </c>
      <c r="D16" s="1">
        <v>119.775109706446</v>
      </c>
      <c r="E16">
        <v>0.18565093130013699</v>
      </c>
      <c r="F16">
        <v>19.681726102997999</v>
      </c>
      <c r="G16">
        <v>0.31677549284404699</v>
      </c>
    </row>
    <row r="17" spans="1:7" x14ac:dyDescent="0.2">
      <c r="A17">
        <v>1.6</v>
      </c>
      <c r="B17">
        <v>45.0399999999999</v>
      </c>
      <c r="C17">
        <v>0.13382672496942999</v>
      </c>
      <c r="D17" s="1">
        <v>119.94730945257599</v>
      </c>
      <c r="E17">
        <v>0.24892613146081599</v>
      </c>
      <c r="F17">
        <v>19.380253766028002</v>
      </c>
      <c r="G17">
        <v>0.17796106590403199</v>
      </c>
    </row>
    <row r="18" spans="1:7" x14ac:dyDescent="0.2">
      <c r="A18">
        <v>1.7</v>
      </c>
      <c r="B18">
        <v>40.56</v>
      </c>
      <c r="C18">
        <v>0.132750155679905</v>
      </c>
      <c r="D18" s="1">
        <v>118.307838471913</v>
      </c>
      <c r="E18">
        <v>0.33769547495482399</v>
      </c>
      <c r="F18">
        <v>16.6561469486848</v>
      </c>
      <c r="G18">
        <v>0.35976581209389902</v>
      </c>
    </row>
    <row r="19" spans="1:7" x14ac:dyDescent="0.2">
      <c r="A19">
        <v>1.8</v>
      </c>
      <c r="B19">
        <v>37.200000000000003</v>
      </c>
      <c r="C19">
        <v>0.16613896297019801</v>
      </c>
      <c r="D19" s="1">
        <v>116.843254781379</v>
      </c>
      <c r="E19">
        <v>8.8756586846793994E-2</v>
      </c>
      <c r="F19">
        <v>21.458601002485501</v>
      </c>
      <c r="G19">
        <v>0.336561446855702</v>
      </c>
    </row>
    <row r="20" spans="1:7" x14ac:dyDescent="0.2">
      <c r="A20">
        <v>1.9</v>
      </c>
      <c r="B20">
        <v>31.28</v>
      </c>
      <c r="C20">
        <v>0.16248027360686901</v>
      </c>
      <c r="D20" s="1">
        <v>116.89081253835801</v>
      </c>
      <c r="E20">
        <v>0.25699526541650802</v>
      </c>
      <c r="F20">
        <v>19.950844818924899</v>
      </c>
      <c r="G20">
        <v>0.246956800786264</v>
      </c>
    </row>
    <row r="21" spans="1:7" x14ac:dyDescent="0.2">
      <c r="A21">
        <v>2</v>
      </c>
      <c r="B21">
        <v>26.34</v>
      </c>
      <c r="C21">
        <v>0.19509263113932099</v>
      </c>
      <c r="D21" s="1">
        <v>118.953039969915</v>
      </c>
      <c r="E21">
        <v>0.26331611289228701</v>
      </c>
      <c r="F21">
        <v>17.208943461615501</v>
      </c>
      <c r="G21">
        <v>0.13602761662179999</v>
      </c>
    </row>
    <row r="22" spans="1:7" x14ac:dyDescent="0.2">
      <c r="A22">
        <v>2.1</v>
      </c>
      <c r="B22">
        <v>25.3799999999999</v>
      </c>
      <c r="C22">
        <v>0.175790226129757</v>
      </c>
      <c r="D22" s="1">
        <v>110.924269037081</v>
      </c>
      <c r="E22">
        <v>1.9003248126416999E-2</v>
      </c>
      <c r="F22">
        <v>22.795834757567398</v>
      </c>
      <c r="G22">
        <v>3.6052145147126E-2</v>
      </c>
    </row>
    <row r="23" spans="1:7" x14ac:dyDescent="0.2">
      <c r="A23">
        <v>2.2000000000000002</v>
      </c>
      <c r="B23">
        <v>24.239999999999899</v>
      </c>
      <c r="C23">
        <v>0.22438990005805701</v>
      </c>
      <c r="D23" s="1">
        <v>119.350906823039</v>
      </c>
      <c r="E23">
        <v>0.195064262682831</v>
      </c>
      <c r="F23">
        <v>23.689256499120301</v>
      </c>
      <c r="G23">
        <v>0.31316850522640599</v>
      </c>
    </row>
    <row r="24" spans="1:7" x14ac:dyDescent="0.2">
      <c r="A24">
        <v>2.2999999999999998</v>
      </c>
      <c r="B24">
        <v>19.420000000000002</v>
      </c>
      <c r="C24">
        <v>0.21807574359062101</v>
      </c>
      <c r="D24" s="1">
        <v>116.668420966139</v>
      </c>
      <c r="E24">
        <v>0.236528912341851</v>
      </c>
      <c r="F24">
        <v>16.9619936849233</v>
      </c>
      <c r="G24">
        <v>0.180543511285612</v>
      </c>
    </row>
    <row r="25" spans="1:7" x14ac:dyDescent="0.2">
      <c r="A25">
        <v>2.4</v>
      </c>
      <c r="B25">
        <v>16.34</v>
      </c>
      <c r="C25">
        <v>0.29501234043790298</v>
      </c>
      <c r="D25" s="1">
        <v>112.496236899465</v>
      </c>
      <c r="E25">
        <v>0.40961896876736498</v>
      </c>
      <c r="F25">
        <v>14.574369608368601</v>
      </c>
      <c r="G25">
        <v>0.29828504976729298</v>
      </c>
    </row>
    <row r="26" spans="1:7" x14ac:dyDescent="0.2">
      <c r="A26">
        <v>2.5</v>
      </c>
      <c r="B26">
        <v>15.6199999999999</v>
      </c>
      <c r="C26">
        <v>0.29358906792538297</v>
      </c>
      <c r="D26" s="1">
        <v>118.46473373082701</v>
      </c>
      <c r="E26">
        <v>0.163154332879964</v>
      </c>
      <c r="F26">
        <v>22.614253209246701</v>
      </c>
      <c r="G26">
        <v>0.14960688523431101</v>
      </c>
    </row>
    <row r="27" spans="1:7" x14ac:dyDescent="0.2">
      <c r="A27">
        <v>2.6</v>
      </c>
      <c r="B27">
        <v>11.6999999999999</v>
      </c>
      <c r="C27">
        <v>0.184466973280449</v>
      </c>
      <c r="D27" s="1">
        <v>119.40869169094501</v>
      </c>
      <c r="E27">
        <v>0.28463823367827101</v>
      </c>
      <c r="F27">
        <v>16.699188261362298</v>
      </c>
      <c r="G27">
        <v>0.34611009223491501</v>
      </c>
    </row>
    <row r="28" spans="1:7" x14ac:dyDescent="0.2">
      <c r="A28">
        <v>2.7</v>
      </c>
      <c r="B28">
        <v>13.5</v>
      </c>
      <c r="C28">
        <v>0.26276842512279602</v>
      </c>
      <c r="D28" s="1">
        <v>104.24836051432401</v>
      </c>
      <c r="E28">
        <v>0.40538335446418</v>
      </c>
      <c r="F28">
        <v>12.9151835375653</v>
      </c>
      <c r="G28">
        <v>0.191678897185356</v>
      </c>
    </row>
    <row r="29" spans="1:7" x14ac:dyDescent="0.2">
      <c r="A29">
        <v>2.8</v>
      </c>
      <c r="B29">
        <v>9.82</v>
      </c>
      <c r="C29">
        <v>0.57031071656600996</v>
      </c>
      <c r="D29" s="1">
        <v>106.287360700403</v>
      </c>
      <c r="E29">
        <v>0.31081166166041202</v>
      </c>
      <c r="F29">
        <v>15.0985346025076</v>
      </c>
      <c r="G29">
        <v>0.32605923748424298</v>
      </c>
    </row>
    <row r="30" spans="1:7" x14ac:dyDescent="0.2">
      <c r="A30">
        <v>2.9</v>
      </c>
      <c r="B30">
        <v>9.08</v>
      </c>
      <c r="C30">
        <v>0.54244499417175795</v>
      </c>
      <c r="D30" s="1">
        <v>106.22098659736599</v>
      </c>
      <c r="E30">
        <v>0.28122217865753502</v>
      </c>
      <c r="F30">
        <v>18.8152319906706</v>
      </c>
      <c r="G30">
        <v>0.177073897050783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B3ED-741F-4676-BF9B-4A0D6FB66548}">
  <dimension ref="A1:G30"/>
  <sheetViews>
    <sheetView workbookViewId="0">
      <selection activeCell="G25" sqref="G25:G30"/>
    </sheetView>
  </sheetViews>
  <sheetFormatPr defaultRowHeight="14.25" x14ac:dyDescent="0.2"/>
  <sheetData>
    <row r="1" spans="1:7" x14ac:dyDescent="0.2">
      <c r="A1">
        <v>0</v>
      </c>
      <c r="B1">
        <v>17.98</v>
      </c>
      <c r="C1">
        <v>9.7642362381441E-2</v>
      </c>
      <c r="D1">
        <v>88.145929886466604</v>
      </c>
      <c r="E1">
        <v>-1.27484066017389</v>
      </c>
      <c r="F1" s="1">
        <v>275.81801816462502</v>
      </c>
      <c r="G1">
        <v>0.16910284491559599</v>
      </c>
    </row>
    <row r="2" spans="1:7" x14ac:dyDescent="0.2">
      <c r="A2">
        <v>0.01</v>
      </c>
      <c r="B2">
        <v>26.239999999999899</v>
      </c>
      <c r="C2">
        <v>0.10873519229704399</v>
      </c>
      <c r="D2">
        <v>99.358837464614794</v>
      </c>
      <c r="E2">
        <v>-0.58327034327513705</v>
      </c>
      <c r="F2">
        <v>91.808082166201302</v>
      </c>
      <c r="G2">
        <v>0.42062724019277498</v>
      </c>
    </row>
    <row r="3" spans="1:7" x14ac:dyDescent="0.2">
      <c r="A3">
        <v>0.04</v>
      </c>
      <c r="B3">
        <v>37.28</v>
      </c>
      <c r="C3">
        <v>9.5059751160027003E-2</v>
      </c>
      <c r="D3" s="1">
        <v>117.46830053639501</v>
      </c>
      <c r="E3">
        <v>-0.118546109196107</v>
      </c>
      <c r="F3">
        <v>53.5690782020068</v>
      </c>
      <c r="G3">
        <v>0.27012221061694303</v>
      </c>
    </row>
    <row r="4" spans="1:7" x14ac:dyDescent="0.2">
      <c r="A4">
        <v>0.08</v>
      </c>
      <c r="B4">
        <v>45.84</v>
      </c>
      <c r="C4">
        <v>0.11003649255282399</v>
      </c>
      <c r="D4" s="1">
        <v>119.54026935886699</v>
      </c>
      <c r="E4">
        <v>-7.7422103870474004E-2</v>
      </c>
      <c r="F4">
        <v>45.3362752009551</v>
      </c>
      <c r="G4">
        <v>9.9673485377663004E-2</v>
      </c>
    </row>
    <row r="5" spans="1:7" x14ac:dyDescent="0.2">
      <c r="A5">
        <v>0.12</v>
      </c>
      <c r="B5">
        <v>50.479999999999897</v>
      </c>
      <c r="C5">
        <v>8.0837898803215999E-2</v>
      </c>
      <c r="D5" s="1">
        <v>123.66525218237101</v>
      </c>
      <c r="E5">
        <v>0.151981108201101</v>
      </c>
      <c r="F5">
        <v>30.087580873057998</v>
      </c>
      <c r="G5">
        <v>0.23032843810571799</v>
      </c>
    </row>
    <row r="6" spans="1:7" x14ac:dyDescent="0.2">
      <c r="A6">
        <v>0.16</v>
      </c>
      <c r="B6">
        <v>52.14</v>
      </c>
      <c r="C6">
        <v>9.6249360702341996E-2</v>
      </c>
      <c r="D6" s="1">
        <v>128.30781910052201</v>
      </c>
      <c r="E6">
        <v>0.19753900202919</v>
      </c>
      <c r="F6">
        <v>27.648629342065899</v>
      </c>
      <c r="G6">
        <v>0.44695941892177998</v>
      </c>
    </row>
    <row r="7" spans="1:7" x14ac:dyDescent="0.2">
      <c r="A7">
        <v>0.2</v>
      </c>
      <c r="B7">
        <v>45.96</v>
      </c>
      <c r="C7">
        <v>9.0202677075181995E-2</v>
      </c>
      <c r="D7" s="1">
        <v>123.503298538848</v>
      </c>
      <c r="E7">
        <v>2.7248852577242001E-2</v>
      </c>
      <c r="F7">
        <v>34.450206472666103</v>
      </c>
      <c r="G7">
        <v>0.185742756007854</v>
      </c>
    </row>
    <row r="8" spans="1:7" x14ac:dyDescent="0.2">
      <c r="A8">
        <v>0.24</v>
      </c>
      <c r="B8">
        <v>38.979999999999897</v>
      </c>
      <c r="C8">
        <v>0.176267091618588</v>
      </c>
      <c r="D8" s="1">
        <v>122.64969952076299</v>
      </c>
      <c r="E8">
        <v>0.11840475987113699</v>
      </c>
      <c r="F8">
        <v>26.442596781385699</v>
      </c>
      <c r="G8">
        <v>8.6560603675761003E-2</v>
      </c>
    </row>
    <row r="9" spans="1:7" x14ac:dyDescent="0.2">
      <c r="A9">
        <v>0.28000000000000003</v>
      </c>
      <c r="B9">
        <v>36.18</v>
      </c>
      <c r="C9">
        <v>0.14892017275292199</v>
      </c>
      <c r="D9" s="1">
        <v>108.747411214859</v>
      </c>
      <c r="E9">
        <v>0.26721610989146399</v>
      </c>
      <c r="F9">
        <v>18.705552171534201</v>
      </c>
      <c r="G9">
        <v>0.21486738291742899</v>
      </c>
    </row>
    <row r="10" spans="1:7" x14ac:dyDescent="0.2">
      <c r="A10">
        <v>0.32</v>
      </c>
      <c r="B10">
        <v>33.759999999999899</v>
      </c>
      <c r="C10">
        <v>0.16422995960926701</v>
      </c>
      <c r="D10" s="1">
        <v>127.807867618008</v>
      </c>
      <c r="E10">
        <v>0.21967858823955499</v>
      </c>
      <c r="F10">
        <v>18.749446092366199</v>
      </c>
      <c r="G10">
        <v>0.39879072474829602</v>
      </c>
    </row>
    <row r="11" spans="1:7" x14ac:dyDescent="0.2">
      <c r="A11">
        <v>0.36</v>
      </c>
      <c r="B11">
        <v>32.340000000000003</v>
      </c>
      <c r="C11">
        <v>0.158314686093772</v>
      </c>
      <c r="D11" s="1">
        <v>124.45634485788401</v>
      </c>
      <c r="E11">
        <v>0.286247558360753</v>
      </c>
      <c r="F11">
        <v>21.995124268791599</v>
      </c>
      <c r="G11">
        <v>0.26100109351498701</v>
      </c>
    </row>
    <row r="12" spans="1:7" x14ac:dyDescent="0.2">
      <c r="A12">
        <v>0.4</v>
      </c>
      <c r="B12">
        <v>32.299999999999898</v>
      </c>
      <c r="C12">
        <v>0.24492017405943201</v>
      </c>
      <c r="D12" s="1">
        <v>110.82056003720299</v>
      </c>
      <c r="E12">
        <v>0.112946994398449</v>
      </c>
      <c r="F12">
        <v>17.4545828912924</v>
      </c>
      <c r="G12">
        <v>0.38672694984417499</v>
      </c>
    </row>
    <row r="13" spans="1:7" x14ac:dyDescent="0.2">
      <c r="A13">
        <v>0.44</v>
      </c>
      <c r="B13">
        <v>29.079999999999899</v>
      </c>
      <c r="C13">
        <v>0.22285386296415499</v>
      </c>
      <c r="D13" s="1">
        <v>122.90203106008499</v>
      </c>
      <c r="E13">
        <v>2.7248852577242001E-2</v>
      </c>
      <c r="F13">
        <v>34.450206472666103</v>
      </c>
      <c r="G13">
        <v>0.185742756007854</v>
      </c>
    </row>
    <row r="14" spans="1:7" x14ac:dyDescent="0.2">
      <c r="A14">
        <v>0.48</v>
      </c>
      <c r="B14">
        <v>27.5399999999999</v>
      </c>
      <c r="C14">
        <v>0.193185461022676</v>
      </c>
      <c r="D14" s="1">
        <v>123.528338063829</v>
      </c>
      <c r="E14">
        <v>0.11840475987113699</v>
      </c>
      <c r="F14">
        <v>26.442596781385699</v>
      </c>
      <c r="G14">
        <v>8.6560603675761003E-2</v>
      </c>
    </row>
    <row r="15" spans="1:7" x14ac:dyDescent="0.2">
      <c r="A15">
        <v>0.52</v>
      </c>
      <c r="B15">
        <v>29.3</v>
      </c>
      <c r="C15">
        <v>0.13589913450427399</v>
      </c>
      <c r="D15" s="1">
        <v>113.95116522049599</v>
      </c>
      <c r="E15">
        <v>0.26721610989146399</v>
      </c>
      <c r="F15">
        <v>18.705552171534201</v>
      </c>
      <c r="G15">
        <v>0.21486738291742899</v>
      </c>
    </row>
    <row r="16" spans="1:7" x14ac:dyDescent="0.2">
      <c r="A16">
        <v>0.56000000000000005</v>
      </c>
      <c r="B16">
        <v>25.76</v>
      </c>
      <c r="C16">
        <v>0.18209963004841001</v>
      </c>
      <c r="D16" s="1">
        <v>121.781716881924</v>
      </c>
      <c r="E16">
        <v>0.21967858823955499</v>
      </c>
      <c r="F16">
        <v>18.749446092366199</v>
      </c>
      <c r="G16">
        <v>0.39879072474829602</v>
      </c>
    </row>
    <row r="17" spans="1:7" x14ac:dyDescent="0.2">
      <c r="A17">
        <v>0.6</v>
      </c>
      <c r="B17">
        <v>24.26</v>
      </c>
      <c r="C17">
        <v>0.17550354574004901</v>
      </c>
      <c r="D17" s="1">
        <v>128.98230325128799</v>
      </c>
      <c r="E17">
        <v>0.286247558360753</v>
      </c>
      <c r="F17">
        <v>21.995124268791599</v>
      </c>
      <c r="G17">
        <v>0.26100109351498701</v>
      </c>
    </row>
    <row r="18" spans="1:7" x14ac:dyDescent="0.2">
      <c r="A18">
        <v>0.64</v>
      </c>
      <c r="B18">
        <v>25.219999999999899</v>
      </c>
      <c r="C18">
        <v>0.33682024969648899</v>
      </c>
      <c r="D18" s="1">
        <v>120.885584054259</v>
      </c>
      <c r="E18">
        <v>0.112946994398449</v>
      </c>
      <c r="F18">
        <v>17.4545828912924</v>
      </c>
      <c r="G18">
        <v>0.38672694984417499</v>
      </c>
    </row>
    <row r="19" spans="1:7" x14ac:dyDescent="0.2">
      <c r="A19">
        <v>0.68</v>
      </c>
      <c r="B19">
        <v>23.52</v>
      </c>
      <c r="C19">
        <v>0.29510388550373501</v>
      </c>
      <c r="D19" s="1">
        <v>116.144734670212</v>
      </c>
      <c r="E19">
        <v>0.249123290636553</v>
      </c>
      <c r="F19">
        <v>16.966427557635399</v>
      </c>
      <c r="G19">
        <v>0.31903846266706498</v>
      </c>
    </row>
    <row r="20" spans="1:7" x14ac:dyDescent="0.2">
      <c r="A20">
        <v>0.72</v>
      </c>
      <c r="B20">
        <v>22.92</v>
      </c>
      <c r="C20">
        <v>0.212901516016648</v>
      </c>
      <c r="D20" s="1">
        <v>129.799585336821</v>
      </c>
      <c r="E20">
        <v>0.266671183633027</v>
      </c>
      <c r="F20">
        <v>17.759091856597902</v>
      </c>
      <c r="G20">
        <v>4.3774598744371999E-2</v>
      </c>
    </row>
    <row r="21" spans="1:7" x14ac:dyDescent="0.2">
      <c r="A21">
        <v>0.76</v>
      </c>
      <c r="B21">
        <v>22.42</v>
      </c>
      <c r="C21">
        <v>0.23866973768511299</v>
      </c>
      <c r="D21" s="1">
        <v>120.251812081864</v>
      </c>
      <c r="E21">
        <v>0.18651869440473101</v>
      </c>
      <c r="F21">
        <v>17.430760922222699</v>
      </c>
      <c r="G21">
        <v>0.27880196480312303</v>
      </c>
    </row>
    <row r="22" spans="1:7" x14ac:dyDescent="0.2">
      <c r="A22">
        <v>0.8</v>
      </c>
      <c r="B22">
        <v>22.02</v>
      </c>
      <c r="C22">
        <v>0.21646639318129199</v>
      </c>
      <c r="D22" s="1">
        <v>127.544407868032</v>
      </c>
      <c r="E22">
        <v>0.34378680209610901</v>
      </c>
      <c r="F22">
        <v>17.201680499269099</v>
      </c>
      <c r="G22">
        <v>0.49939613637268998</v>
      </c>
    </row>
    <row r="23" spans="1:7" x14ac:dyDescent="0.2">
      <c r="A23">
        <v>0.84</v>
      </c>
      <c r="B23">
        <v>20.6999999999999</v>
      </c>
      <c r="C23">
        <v>0.20548012012421499</v>
      </c>
      <c r="D23" s="1">
        <v>120.72931798173001</v>
      </c>
      <c r="E23">
        <v>0.38383764672017301</v>
      </c>
      <c r="F23">
        <v>15.621133317517099</v>
      </c>
      <c r="G23">
        <v>0.19834896332701599</v>
      </c>
    </row>
    <row r="24" spans="1:7" x14ac:dyDescent="0.2">
      <c r="A24">
        <v>0.88</v>
      </c>
      <c r="B24">
        <v>19.6999999999999</v>
      </c>
      <c r="C24">
        <v>0.261896221895149</v>
      </c>
      <c r="D24" s="1">
        <v>121.592469499361</v>
      </c>
      <c r="E24">
        <v>0.18579706161030199</v>
      </c>
      <c r="F24">
        <v>19.5208180475476</v>
      </c>
      <c r="G24">
        <v>0.17152580242641999</v>
      </c>
    </row>
    <row r="25" spans="1:7" x14ac:dyDescent="0.2">
      <c r="A25">
        <v>0.92</v>
      </c>
      <c r="B25">
        <v>19.16</v>
      </c>
      <c r="C25">
        <v>0.24994141171002199</v>
      </c>
      <c r="D25" s="1">
        <v>119.57544004382601</v>
      </c>
      <c r="E25">
        <v>5.8453969694238002E-2</v>
      </c>
      <c r="F25">
        <v>21.865052844984799</v>
      </c>
      <c r="G25">
        <v>0.33590641430981899</v>
      </c>
    </row>
    <row r="26" spans="1:7" x14ac:dyDescent="0.2">
      <c r="A26">
        <v>0.96</v>
      </c>
      <c r="B26">
        <v>19.5399999999999</v>
      </c>
      <c r="C26">
        <v>0.547318982514435</v>
      </c>
      <c r="D26" s="1">
        <v>122.03766082361901</v>
      </c>
      <c r="E26">
        <v>0.26366408155920401</v>
      </c>
      <c r="F26">
        <v>18.386996907098599</v>
      </c>
      <c r="G26">
        <v>6.3978718799675996E-2</v>
      </c>
    </row>
    <row r="27" spans="1:7" x14ac:dyDescent="0.2">
      <c r="A27">
        <v>1</v>
      </c>
      <c r="B27">
        <v>19.68</v>
      </c>
      <c r="C27">
        <v>0.41374745378481698</v>
      </c>
      <c r="D27" s="1">
        <v>115.090153278969</v>
      </c>
      <c r="E27">
        <v>9.8530183705283006E-2</v>
      </c>
      <c r="F27">
        <v>22.323504110797298</v>
      </c>
      <c r="G27">
        <v>0.27800909317939199</v>
      </c>
    </row>
    <row r="28" spans="1:7" x14ac:dyDescent="0.2">
      <c r="A28">
        <v>1.04</v>
      </c>
      <c r="B28">
        <v>18.5399999999999</v>
      </c>
      <c r="C28">
        <v>0.219022856085614</v>
      </c>
      <c r="D28" s="1">
        <v>123.674928213618</v>
      </c>
      <c r="E28">
        <v>0.315489342246834</v>
      </c>
      <c r="F28">
        <v>14.3913805436486</v>
      </c>
      <c r="G28">
        <v>0.19881214644181</v>
      </c>
    </row>
    <row r="29" spans="1:7" x14ac:dyDescent="0.2">
      <c r="A29">
        <v>1.08</v>
      </c>
      <c r="B29">
        <v>20.3799999999999</v>
      </c>
      <c r="C29">
        <v>0.34387458344106198</v>
      </c>
      <c r="D29" s="1">
        <v>118.65807907534401</v>
      </c>
      <c r="E29">
        <v>9.4355550024915996E-2</v>
      </c>
      <c r="F29">
        <v>21.2927210313382</v>
      </c>
      <c r="G29">
        <v>0.41009763576795399</v>
      </c>
    </row>
    <row r="30" spans="1:7" x14ac:dyDescent="0.2">
      <c r="A30">
        <v>1.1200000000000001</v>
      </c>
      <c r="B30">
        <v>19.8799999999999</v>
      </c>
      <c r="C30">
        <v>0.37693457758555499</v>
      </c>
      <c r="D30" s="1">
        <v>126.50085248645</v>
      </c>
      <c r="E30">
        <v>0.24691392935913101</v>
      </c>
      <c r="F30">
        <v>19.0201777536641</v>
      </c>
      <c r="G30">
        <v>0.264304445369476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F49B-67D5-4211-A0DC-B9A06074AF10}">
  <dimension ref="A1:G30"/>
  <sheetViews>
    <sheetView workbookViewId="0"/>
  </sheetViews>
  <sheetFormatPr defaultRowHeight="14.25" x14ac:dyDescent="0.2"/>
  <sheetData>
    <row r="1" spans="1:7" x14ac:dyDescent="0.2">
      <c r="A1">
        <f>1/(24*PI())</f>
        <v>1.3262911924324612E-2</v>
      </c>
      <c r="B1">
        <v>25.719999999999899</v>
      </c>
      <c r="C1">
        <v>0.17857328191032401</v>
      </c>
      <c r="D1" s="1">
        <v>139.67999016590699</v>
      </c>
      <c r="E1">
        <v>0.374137369972182</v>
      </c>
      <c r="F1">
        <v>15.5635393501853</v>
      </c>
      <c r="G1">
        <v>6.8522331891326005E-2</v>
      </c>
    </row>
    <row r="2" spans="1:7" x14ac:dyDescent="0.2">
      <c r="A2">
        <f>1/(23*PI())</f>
        <v>1.3839560268860466E-2</v>
      </c>
      <c r="B2">
        <v>25.52</v>
      </c>
      <c r="C2">
        <v>0.23941401318903199</v>
      </c>
      <c r="D2" s="1">
        <v>127.072948420649</v>
      </c>
      <c r="E2">
        <v>0.52481651673794005</v>
      </c>
      <c r="F2">
        <v>16.613803860864799</v>
      </c>
      <c r="G2">
        <v>0.16588022385547399</v>
      </c>
    </row>
    <row r="3" spans="1:7" x14ac:dyDescent="0.2">
      <c r="A3">
        <f>1/(22*PI())</f>
        <v>1.4468631190172306E-2</v>
      </c>
      <c r="B3">
        <v>24.899999999999899</v>
      </c>
      <c r="C3">
        <v>0.17121132984367099</v>
      </c>
      <c r="D3" s="1">
        <v>135.747098345117</v>
      </c>
      <c r="E3">
        <v>0.38535919947045799</v>
      </c>
      <c r="F3">
        <v>16.678365307131902</v>
      </c>
      <c r="G3">
        <v>0.11263938145973799</v>
      </c>
    </row>
    <row r="4" spans="1:7" x14ac:dyDescent="0.2">
      <c r="A4">
        <f>1/(21*PI())</f>
        <v>1.5157613627799556E-2</v>
      </c>
      <c r="B4">
        <v>25.64</v>
      </c>
      <c r="C4">
        <v>0.111352079112247</v>
      </c>
      <c r="D4" s="1">
        <v>134.26688693943601</v>
      </c>
      <c r="E4">
        <v>0.28810230515937502</v>
      </c>
      <c r="F4">
        <v>17.424783743293801</v>
      </c>
      <c r="G4">
        <v>0.18553977173696901</v>
      </c>
    </row>
    <row r="5" spans="1:7" x14ac:dyDescent="0.2">
      <c r="A5">
        <f>1/(20*PI())</f>
        <v>1.5915494309189534E-2</v>
      </c>
      <c r="B5">
        <v>25.3599999999999</v>
      </c>
      <c r="C5">
        <v>0.181325398067013</v>
      </c>
      <c r="D5" s="1">
        <v>130.100259384135</v>
      </c>
      <c r="E5">
        <v>0.14241492486919999</v>
      </c>
      <c r="F5">
        <v>22.5528182478396</v>
      </c>
      <c r="G5">
        <v>0.10915836127683599</v>
      </c>
    </row>
    <row r="6" spans="1:7" x14ac:dyDescent="0.2">
      <c r="A6">
        <f>1/(19*PI())</f>
        <v>1.6753151904410037E-2</v>
      </c>
      <c r="B6">
        <v>27.14</v>
      </c>
      <c r="C6">
        <v>0.28625733597039499</v>
      </c>
      <c r="D6" s="1">
        <v>131.35075638711501</v>
      </c>
      <c r="E6">
        <v>0.37814208913217601</v>
      </c>
      <c r="F6">
        <v>17.539072179536301</v>
      </c>
      <c r="G6">
        <v>5.0193059335854003E-2</v>
      </c>
    </row>
    <row r="7" spans="1:7" x14ac:dyDescent="0.2">
      <c r="A7">
        <f>1/(18*PI())</f>
        <v>1.7683882565766151E-2</v>
      </c>
      <c r="B7">
        <v>25.66</v>
      </c>
      <c r="C7">
        <v>0.21596832861492199</v>
      </c>
      <c r="D7" s="1">
        <v>129.67940744490099</v>
      </c>
      <c r="E7">
        <v>0.21759965788250901</v>
      </c>
      <c r="F7">
        <v>17.871431301662099</v>
      </c>
      <c r="G7">
        <v>0.35373739772655699</v>
      </c>
    </row>
    <row r="8" spans="1:7" x14ac:dyDescent="0.2">
      <c r="A8">
        <f>1/(17*PI())</f>
        <v>1.8724110951987685E-2</v>
      </c>
      <c r="B8">
        <v>26.92</v>
      </c>
      <c r="C8">
        <v>0.17211994733194699</v>
      </c>
      <c r="D8" s="1">
        <v>135.14177993461399</v>
      </c>
      <c r="E8">
        <v>0.37303897441633899</v>
      </c>
      <c r="F8">
        <v>18.305467279948399</v>
      </c>
      <c r="G8">
        <v>0.31450116842885001</v>
      </c>
    </row>
    <row r="9" spans="1:7" x14ac:dyDescent="0.2">
      <c r="A9">
        <f>1/(16*PI())</f>
        <v>1.9894367886486918E-2</v>
      </c>
      <c r="B9">
        <v>26.5399999999999</v>
      </c>
      <c r="C9">
        <v>0.312967649723491</v>
      </c>
      <c r="D9" s="1">
        <v>141.59282262853699</v>
      </c>
      <c r="E9">
        <v>0.55089299586684104</v>
      </c>
      <c r="F9">
        <v>15.411138635229999</v>
      </c>
      <c r="G9">
        <v>0.259109513721754</v>
      </c>
    </row>
    <row r="10" spans="1:7" x14ac:dyDescent="0.2">
      <c r="A10">
        <f>1/(15*PI())</f>
        <v>2.1220659078919381E-2</v>
      </c>
      <c r="B10">
        <v>28.92</v>
      </c>
      <c r="C10">
        <v>0.23877380696452899</v>
      </c>
      <c r="D10" s="1">
        <v>134.444337472169</v>
      </c>
      <c r="E10">
        <v>0.37994713456026102</v>
      </c>
      <c r="F10">
        <v>18.998633041416799</v>
      </c>
      <c r="G10">
        <v>0.228783337164148</v>
      </c>
    </row>
    <row r="11" spans="1:7" x14ac:dyDescent="0.2">
      <c r="A11">
        <f t="shared" ref="A11" si="0">1/(14*PI())</f>
        <v>2.2736420441699334E-2</v>
      </c>
      <c r="B11">
        <v>25.84</v>
      </c>
      <c r="C11">
        <v>0.23967574062460401</v>
      </c>
      <c r="D11" s="1">
        <v>132.21146378575</v>
      </c>
      <c r="E11">
        <v>0.35142086828599201</v>
      </c>
      <c r="F11">
        <v>17.330775505418298</v>
      </c>
      <c r="G11">
        <v>9.6728979428837E-2</v>
      </c>
    </row>
    <row r="12" spans="1:7" x14ac:dyDescent="0.2">
      <c r="A12">
        <f>1/(13*PI())</f>
        <v>2.4485375860291588E-2</v>
      </c>
      <c r="B12">
        <v>26.3799999999999</v>
      </c>
      <c r="C12">
        <v>0.131722760300302</v>
      </c>
      <c r="D12" s="1">
        <v>134.151869270156</v>
      </c>
      <c r="E12">
        <v>0.23162184706771799</v>
      </c>
      <c r="F12">
        <v>20.203589075536701</v>
      </c>
      <c r="G12">
        <v>0.10211054000867099</v>
      </c>
    </row>
    <row r="13" spans="1:7" x14ac:dyDescent="0.2">
      <c r="A13">
        <f>1/(12*PI())</f>
        <v>2.6525823848649224E-2</v>
      </c>
      <c r="B13">
        <v>28.76</v>
      </c>
      <c r="C13">
        <v>0.19459349420501301</v>
      </c>
      <c r="D13" s="1">
        <v>132.030238179278</v>
      </c>
      <c r="E13">
        <v>0.40670318325312999</v>
      </c>
      <c r="F13">
        <v>16.728817800632498</v>
      </c>
      <c r="G13">
        <v>0.27293718306526898</v>
      </c>
    </row>
    <row r="14" spans="1:7" x14ac:dyDescent="0.2">
      <c r="A14">
        <f>1/(11*PI())</f>
        <v>2.8937262380344612E-2</v>
      </c>
      <c r="B14">
        <v>29.76</v>
      </c>
      <c r="C14">
        <v>0.166533950784022</v>
      </c>
      <c r="D14" s="1">
        <v>125.262294139273</v>
      </c>
      <c r="E14">
        <v>4.9377055818763997E-2</v>
      </c>
      <c r="F14">
        <v>27.951997165703201</v>
      </c>
      <c r="G14">
        <v>0.39266584537358301</v>
      </c>
    </row>
    <row r="15" spans="1:7" x14ac:dyDescent="0.2">
      <c r="A15">
        <f>1/(10*PI())</f>
        <v>3.1830988618379068E-2</v>
      </c>
      <c r="B15">
        <v>26.8599999999999</v>
      </c>
      <c r="C15">
        <v>0.15234419865910201</v>
      </c>
      <c r="D15" s="1">
        <v>132.04180522433799</v>
      </c>
      <c r="E15">
        <v>0.24786402540834901</v>
      </c>
      <c r="F15">
        <v>17.826447012236699</v>
      </c>
      <c r="G15">
        <v>0.31370112221274499</v>
      </c>
    </row>
    <row r="16" spans="1:7" x14ac:dyDescent="0.2">
      <c r="A16">
        <f>1/(9*PI())</f>
        <v>3.5367765131532301E-2</v>
      </c>
      <c r="B16">
        <v>27.02</v>
      </c>
      <c r="C16">
        <v>0.13641068319538299</v>
      </c>
      <c r="D16" s="1">
        <v>136.33973885901199</v>
      </c>
      <c r="E16">
        <v>0.24538554040982599</v>
      </c>
      <c r="F16">
        <v>24.2805750434933</v>
      </c>
      <c r="G16">
        <v>0.25923045627308</v>
      </c>
    </row>
    <row r="17" spans="1:7" x14ac:dyDescent="0.2">
      <c r="A17">
        <f>1/(8*PI())</f>
        <v>3.9788735772973836E-2</v>
      </c>
      <c r="B17">
        <v>25.94</v>
      </c>
      <c r="C17">
        <v>0.10473130745846899</v>
      </c>
      <c r="D17" s="1">
        <v>125.04313822255899</v>
      </c>
      <c r="E17">
        <v>0.41498759171367</v>
      </c>
      <c r="F17">
        <v>12.9066194503823</v>
      </c>
      <c r="G17">
        <v>0.30511445313144597</v>
      </c>
    </row>
    <row r="18" spans="1:7" x14ac:dyDescent="0.2">
      <c r="A18">
        <f>1/(7*PI())</f>
        <v>4.5472840883398667E-2</v>
      </c>
      <c r="B18">
        <v>28.84</v>
      </c>
      <c r="C18">
        <v>0.18682168275548</v>
      </c>
      <c r="D18" s="1">
        <v>118.52381191042301</v>
      </c>
      <c r="E18">
        <v>0.34090095240416901</v>
      </c>
      <c r="F18">
        <v>18.8789160539677</v>
      </c>
      <c r="G18">
        <v>0.40456455367255401</v>
      </c>
    </row>
    <row r="19" spans="1:7" x14ac:dyDescent="0.2">
      <c r="A19">
        <f>1/(6*PI())</f>
        <v>5.3051647697298449E-2</v>
      </c>
      <c r="B19">
        <v>28.219999999999899</v>
      </c>
      <c r="C19">
        <v>7.0141615173399993E-2</v>
      </c>
      <c r="D19" s="1">
        <v>129.284587419985</v>
      </c>
      <c r="E19">
        <v>0.35538624977032202</v>
      </c>
      <c r="F19">
        <v>15.864559379233301</v>
      </c>
      <c r="G19">
        <v>0.36462250515199401</v>
      </c>
    </row>
    <row r="20" spans="1:7" x14ac:dyDescent="0.2">
      <c r="A20">
        <f>1/(5*PI())</f>
        <v>6.3661977236758135E-2</v>
      </c>
      <c r="B20">
        <v>29</v>
      </c>
      <c r="C20">
        <v>0.11677522614194</v>
      </c>
      <c r="D20" s="1">
        <v>105.99116049109401</v>
      </c>
      <c r="E20">
        <v>7.9426919607880994E-2</v>
      </c>
      <c r="F20">
        <v>21.94314109407</v>
      </c>
      <c r="G20">
        <v>0.26532010536177397</v>
      </c>
    </row>
    <row r="21" spans="1:7" x14ac:dyDescent="0.2">
      <c r="A21">
        <f>1/(4*PI())</f>
        <v>7.9577471545947673E-2</v>
      </c>
      <c r="B21">
        <v>33.520000000000003</v>
      </c>
      <c r="C21">
        <v>0.21373363395751399</v>
      </c>
      <c r="D21" s="1">
        <v>115.971071092494</v>
      </c>
      <c r="E21">
        <v>0.51871600643196802</v>
      </c>
      <c r="F21">
        <v>12.9284307255024</v>
      </c>
      <c r="G21">
        <v>0.13254166839492601</v>
      </c>
    </row>
    <row r="22" spans="1:7" x14ac:dyDescent="0.2">
      <c r="A22">
        <f>1/(3*PI())</f>
        <v>0.1061032953945969</v>
      </c>
      <c r="B22">
        <v>34.719999999999899</v>
      </c>
      <c r="C22">
        <v>0.171481133725053</v>
      </c>
      <c r="D22">
        <v>92.944635886739803</v>
      </c>
      <c r="E22">
        <v>0.261648157053675</v>
      </c>
      <c r="F22">
        <v>17.7244064257393</v>
      </c>
      <c r="G22">
        <v>0.13796210260212699</v>
      </c>
    </row>
    <row r="23" spans="1:7" x14ac:dyDescent="0.2">
      <c r="A23">
        <f>1/(2*PI())</f>
        <v>0.15915494309189535</v>
      </c>
      <c r="B23">
        <v>44.259999999999899</v>
      </c>
      <c r="C23">
        <v>0.20599663473062199</v>
      </c>
      <c r="D23">
        <v>78.661769735678902</v>
      </c>
      <c r="E23">
        <v>0.22182830680450899</v>
      </c>
      <c r="F23">
        <v>14.9688876597848</v>
      </c>
      <c r="G23">
        <v>0.42552339195038802</v>
      </c>
    </row>
    <row r="24" spans="1:7" x14ac:dyDescent="0.2">
      <c r="A24">
        <f>1/(PI())</f>
        <v>0.31830988618379069</v>
      </c>
      <c r="B24">
        <v>79.400000000000006</v>
      </c>
      <c r="C24">
        <v>0.149191907678206</v>
      </c>
      <c r="D24">
        <v>53.666275874222002</v>
      </c>
      <c r="E24">
        <v>0.55165798627630502</v>
      </c>
      <c r="F24">
        <v>10.1116710536696</v>
      </c>
      <c r="G24">
        <v>0.37869647827108199</v>
      </c>
    </row>
    <row r="25" spans="1:7" x14ac:dyDescent="0.2">
      <c r="A25">
        <f>2/(PI())</f>
        <v>0.63661977236758138</v>
      </c>
      <c r="B25" s="1">
        <v>153.76</v>
      </c>
      <c r="C25">
        <v>0.104333853659967</v>
      </c>
      <c r="D25">
        <v>39.335742785242203</v>
      </c>
      <c r="E25">
        <v>3.8017553703643001E-2</v>
      </c>
      <c r="F25">
        <v>16.7852390784901</v>
      </c>
      <c r="G25">
        <v>0.32998809839101101</v>
      </c>
    </row>
    <row r="26" spans="1:7" x14ac:dyDescent="0.2">
      <c r="A26">
        <f>3/(PI())</f>
        <v>0.95492965855137202</v>
      </c>
      <c r="B26" s="1">
        <v>263.8</v>
      </c>
      <c r="C26">
        <v>8.0866083225271002E-2</v>
      </c>
      <c r="D26">
        <v>33.193352261168101</v>
      </c>
      <c r="E26">
        <v>0.227195349651969</v>
      </c>
      <c r="F26">
        <v>14.314310720805199</v>
      </c>
      <c r="G26">
        <v>0.25951032329069801</v>
      </c>
    </row>
    <row r="27" spans="1:7" x14ac:dyDescent="0.2">
      <c r="A27">
        <f>4/(PI())</f>
        <v>1.2732395447351628</v>
      </c>
      <c r="B27" s="1">
        <v>329.94</v>
      </c>
      <c r="C27">
        <v>6.3291858109913002E-2</v>
      </c>
      <c r="D27">
        <v>31.695655092841001</v>
      </c>
      <c r="E27">
        <v>2.2703185648148001E-2</v>
      </c>
      <c r="F27">
        <v>14.9078846841198</v>
      </c>
      <c r="G27">
        <v>0.38922883371995398</v>
      </c>
    </row>
    <row r="28" spans="1:7" x14ac:dyDescent="0.2">
      <c r="A28">
        <f>5/(PI())</f>
        <v>1.5915494309189535</v>
      </c>
      <c r="B28" s="1">
        <v>377.74</v>
      </c>
      <c r="C28">
        <v>6.2027908230234997E-2</v>
      </c>
      <c r="D28">
        <v>32.387945598020202</v>
      </c>
      <c r="E28">
        <v>0.23778219404487699</v>
      </c>
      <c r="F28">
        <v>18.530480947966598</v>
      </c>
      <c r="G28">
        <v>0.11634481115883601</v>
      </c>
    </row>
    <row r="29" spans="1:7" x14ac:dyDescent="0.2">
      <c r="A29">
        <f>6/(PI())</f>
        <v>1.909859317102744</v>
      </c>
      <c r="B29" s="1">
        <v>408.58</v>
      </c>
      <c r="C29">
        <v>6.4421714354135004E-2</v>
      </c>
      <c r="D29">
        <v>32.567978351250702</v>
      </c>
      <c r="E29">
        <v>0.31641012040056898</v>
      </c>
      <c r="F29">
        <v>14.875553956836001</v>
      </c>
      <c r="G29">
        <v>0.180001690279222</v>
      </c>
    </row>
    <row r="30" spans="1:7" x14ac:dyDescent="0.2">
      <c r="A30">
        <f>7/(PI())</f>
        <v>2.228169203286535</v>
      </c>
      <c r="B30" s="1">
        <v>431.36</v>
      </c>
      <c r="C30">
        <v>6.2335857889679998E-2</v>
      </c>
      <c r="D30">
        <v>33.737785447595598</v>
      </c>
      <c r="E30">
        <v>0.20719640172859799</v>
      </c>
      <c r="F30">
        <v>15.798737514545101</v>
      </c>
      <c r="G30">
        <v>0.32839254032314102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603E-4374-4CEE-96F3-3D8AC3459B4F}">
  <dimension ref="A1:G30"/>
  <sheetViews>
    <sheetView zoomScaleNormal="100" workbookViewId="0">
      <selection activeCell="G25" sqref="G25:G30"/>
    </sheetView>
  </sheetViews>
  <sheetFormatPr defaultRowHeight="14.25" x14ac:dyDescent="0.2"/>
  <sheetData>
    <row r="1" spans="1:7" x14ac:dyDescent="0.2">
      <c r="A1">
        <f>PI()/(24)</f>
        <v>0.1308996938995747</v>
      </c>
      <c r="B1">
        <v>25.98</v>
      </c>
      <c r="C1">
        <v>0.17766707306787999</v>
      </c>
      <c r="D1" s="1">
        <v>101.002582071329</v>
      </c>
      <c r="E1">
        <v>0.97620482545686305</v>
      </c>
      <c r="F1">
        <v>3.13111307284115</v>
      </c>
      <c r="G1">
        <v>0.17804095630032801</v>
      </c>
    </row>
    <row r="2" spans="1:7" x14ac:dyDescent="0.2">
      <c r="A2">
        <f>PI()/(23)</f>
        <v>0.13659098493868665</v>
      </c>
      <c r="B2">
        <v>25.8599999999999</v>
      </c>
      <c r="C2">
        <v>0.15669289827486901</v>
      </c>
      <c r="D2" s="1">
        <v>103.574650675732</v>
      </c>
      <c r="E2">
        <v>0.89937233940918104</v>
      </c>
      <c r="F2">
        <v>3.3226193358877398</v>
      </c>
      <c r="G2">
        <v>0.16728330110853201</v>
      </c>
    </row>
    <row r="3" spans="1:7" x14ac:dyDescent="0.2">
      <c r="A3">
        <f>PI()/(22)</f>
        <v>0.14279966607226333</v>
      </c>
      <c r="B3">
        <v>27.34</v>
      </c>
      <c r="C3">
        <v>0.19009587430099101</v>
      </c>
      <c r="D3" s="1">
        <v>105.37048945388599</v>
      </c>
      <c r="E3">
        <v>0.91052956767698501</v>
      </c>
      <c r="F3">
        <v>3.4663516085155202</v>
      </c>
      <c r="G3">
        <v>0.229025212314899</v>
      </c>
    </row>
    <row r="4" spans="1:7" x14ac:dyDescent="0.2">
      <c r="A4">
        <f>PI()/(21)</f>
        <v>0.14959965017094254</v>
      </c>
      <c r="B4">
        <v>25.399999999999899</v>
      </c>
      <c r="C4">
        <v>0.34792420360095899</v>
      </c>
      <c r="D4" s="1">
        <v>103.096574552075</v>
      </c>
      <c r="E4">
        <v>0.79581332940704297</v>
      </c>
      <c r="F4">
        <v>4.1281389249981002</v>
      </c>
      <c r="G4">
        <v>0.21369291301874899</v>
      </c>
    </row>
    <row r="5" spans="1:7" x14ac:dyDescent="0.2">
      <c r="A5">
        <f>PI()/(20)</f>
        <v>0.15707963267948966</v>
      </c>
      <c r="B5">
        <v>25.66</v>
      </c>
      <c r="C5">
        <v>0.149208985234177</v>
      </c>
      <c r="D5" s="1">
        <v>103.84977434119</v>
      </c>
      <c r="E5">
        <v>0.78050154024268203</v>
      </c>
      <c r="F5">
        <v>4.0424043778731402</v>
      </c>
      <c r="G5">
        <v>0.13844302196507499</v>
      </c>
    </row>
    <row r="6" spans="1:7" x14ac:dyDescent="0.2">
      <c r="A6">
        <f>PI()/(19)</f>
        <v>0.16534698176788384</v>
      </c>
      <c r="B6">
        <v>25.78</v>
      </c>
      <c r="C6">
        <v>0.23197443746520299</v>
      </c>
      <c r="D6" s="1">
        <v>105.35426313759299</v>
      </c>
      <c r="E6">
        <v>0.83435753658637402</v>
      </c>
      <c r="F6">
        <v>3.9172007559973898</v>
      </c>
      <c r="G6">
        <v>0.10782712126421801</v>
      </c>
    </row>
    <row r="7" spans="1:7" x14ac:dyDescent="0.2">
      <c r="A7">
        <f>PI()/(18)</f>
        <v>0.17453292519943295</v>
      </c>
      <c r="B7">
        <v>26.98</v>
      </c>
      <c r="C7">
        <v>0.46393673870276803</v>
      </c>
      <c r="D7" s="1">
        <v>104.037678142318</v>
      </c>
      <c r="E7">
        <v>0.68691131223618196</v>
      </c>
      <c r="F7">
        <v>4.6643814770808998</v>
      </c>
      <c r="G7">
        <v>0.22167478555756701</v>
      </c>
    </row>
    <row r="8" spans="1:7" x14ac:dyDescent="0.2">
      <c r="A8">
        <f>PI()/(17)</f>
        <v>0.18479956785822313</v>
      </c>
      <c r="B8">
        <v>24.1</v>
      </c>
      <c r="C8">
        <v>0.267760595168546</v>
      </c>
      <c r="D8" s="1">
        <v>107.74234699114101</v>
      </c>
      <c r="E8">
        <v>0.73033411895751998</v>
      </c>
      <c r="F8">
        <v>4.4174312247473999</v>
      </c>
      <c r="G8">
        <v>0.200243267050457</v>
      </c>
    </row>
    <row r="9" spans="1:7" x14ac:dyDescent="0.2">
      <c r="A9">
        <f>PI()/(16)</f>
        <v>0.19634954084936207</v>
      </c>
      <c r="B9">
        <v>26.26</v>
      </c>
      <c r="C9">
        <v>0.15017215469159401</v>
      </c>
      <c r="D9" s="1">
        <v>101.20595341908199</v>
      </c>
      <c r="E9">
        <v>0.470486543981537</v>
      </c>
      <c r="F9">
        <v>6.0786973584775996</v>
      </c>
      <c r="G9">
        <v>0.115189319751377</v>
      </c>
    </row>
    <row r="10" spans="1:7" x14ac:dyDescent="0.2">
      <c r="A10">
        <f>PI()/(15)</f>
        <v>0.20943951023931953</v>
      </c>
      <c r="B10">
        <v>27.66</v>
      </c>
      <c r="C10">
        <v>0.227063307025544</v>
      </c>
      <c r="D10" s="1">
        <v>105.092440971942</v>
      </c>
      <c r="E10">
        <v>0.81831820550622203</v>
      </c>
      <c r="F10">
        <v>3.9474661813890499</v>
      </c>
      <c r="G10">
        <v>0.182771646109121</v>
      </c>
    </row>
    <row r="11" spans="1:7" x14ac:dyDescent="0.2">
      <c r="A11">
        <f>PI()/(14)</f>
        <v>0.22439947525641379</v>
      </c>
      <c r="B11">
        <v>26.5399999999999</v>
      </c>
      <c r="C11">
        <v>0.35193591619613401</v>
      </c>
      <c r="D11" s="1">
        <v>101.350343623225</v>
      </c>
      <c r="E11">
        <v>0.84923595522849005</v>
      </c>
      <c r="F11">
        <v>3.8350506623620002</v>
      </c>
      <c r="G11">
        <v>0.131059072225268</v>
      </c>
    </row>
    <row r="12" spans="1:7" x14ac:dyDescent="0.2">
      <c r="A12">
        <f>PI()/(13)</f>
        <v>0.241660973353061</v>
      </c>
      <c r="B12">
        <v>26.52</v>
      </c>
      <c r="C12">
        <v>0.32534397888960698</v>
      </c>
      <c r="D12" s="1">
        <v>105.368423344017</v>
      </c>
      <c r="E12">
        <v>0.83182401600951295</v>
      </c>
      <c r="F12">
        <v>4.0651919592031698</v>
      </c>
      <c r="G12">
        <v>0.17887636452639699</v>
      </c>
    </row>
    <row r="13" spans="1:7" x14ac:dyDescent="0.2">
      <c r="A13">
        <f>PI()/(12)</f>
        <v>0.26179938779914941</v>
      </c>
      <c r="B13">
        <v>26.18</v>
      </c>
      <c r="C13">
        <v>0.162665928248379</v>
      </c>
      <c r="D13" s="1">
        <v>106.399811796658</v>
      </c>
      <c r="E13">
        <v>0.83776285818068597</v>
      </c>
      <c r="F13">
        <v>4.4053051808282602</v>
      </c>
      <c r="G13">
        <v>6.0513821766246E-2</v>
      </c>
    </row>
    <row r="14" spans="1:7" x14ac:dyDescent="0.2">
      <c r="A14">
        <f>PI()/(11)</f>
        <v>0.28559933214452665</v>
      </c>
      <c r="B14">
        <v>25.76</v>
      </c>
      <c r="C14">
        <v>0.230617166819438</v>
      </c>
      <c r="D14" s="1">
        <v>102.632372915278</v>
      </c>
      <c r="E14">
        <v>0.73861740045692403</v>
      </c>
      <c r="F14">
        <v>4.5570425673421102</v>
      </c>
      <c r="G14">
        <v>0.43348520356589698</v>
      </c>
    </row>
    <row r="15" spans="1:7" x14ac:dyDescent="0.2">
      <c r="A15">
        <f>PI()/(10)</f>
        <v>0.31415926535897931</v>
      </c>
      <c r="B15">
        <v>25.6</v>
      </c>
      <c r="C15">
        <v>0.22056976217033</v>
      </c>
      <c r="D15" s="1">
        <v>104.353608960768</v>
      </c>
      <c r="E15">
        <v>0.85972606925288797</v>
      </c>
      <c r="F15">
        <v>3.9218607017797402</v>
      </c>
      <c r="G15">
        <v>0.116756002530185</v>
      </c>
    </row>
    <row r="16" spans="1:7" x14ac:dyDescent="0.2">
      <c r="A16">
        <f>PI()/(9)</f>
        <v>0.3490658503988659</v>
      </c>
      <c r="B16">
        <v>25.48</v>
      </c>
      <c r="C16">
        <v>0.180530195955524</v>
      </c>
      <c r="D16" s="1">
        <v>106.178695730188</v>
      </c>
      <c r="E16">
        <v>0.82495023418864299</v>
      </c>
      <c r="F16">
        <v>4.1091036203130296</v>
      </c>
      <c r="G16">
        <v>1.2164618077354E-2</v>
      </c>
    </row>
    <row r="17" spans="1:7" x14ac:dyDescent="0.2">
      <c r="A17">
        <f>PI()/(8)</f>
        <v>0.39269908169872414</v>
      </c>
      <c r="B17">
        <v>26.32</v>
      </c>
      <c r="C17">
        <v>0.184031365028265</v>
      </c>
      <c r="D17" s="1">
        <v>100.636043342726</v>
      </c>
      <c r="E17">
        <v>0.80897162802424305</v>
      </c>
      <c r="F17">
        <v>4.1601498302280397</v>
      </c>
      <c r="G17">
        <v>0.249824696846947</v>
      </c>
    </row>
    <row r="18" spans="1:7" x14ac:dyDescent="0.2">
      <c r="A18">
        <f>PI()/(7)</f>
        <v>0.44879895051282759</v>
      </c>
      <c r="B18">
        <v>23.96</v>
      </c>
      <c r="C18">
        <v>0.422453111895565</v>
      </c>
      <c r="D18" s="1">
        <v>104.18982029961499</v>
      </c>
      <c r="E18">
        <v>0.76170159926497305</v>
      </c>
      <c r="F18">
        <v>4.3374038650263502</v>
      </c>
      <c r="G18">
        <v>0.27461516205084502</v>
      </c>
    </row>
    <row r="19" spans="1:7" x14ac:dyDescent="0.2">
      <c r="A19">
        <f>PI()/(6)</f>
        <v>0.52359877559829882</v>
      </c>
      <c r="B19">
        <v>27.62</v>
      </c>
      <c r="C19">
        <v>0.25913632864226199</v>
      </c>
      <c r="D19" s="1">
        <v>109.41214983053401</v>
      </c>
      <c r="E19">
        <v>0.65068627159410897</v>
      </c>
      <c r="F19">
        <v>5.3932400173526096</v>
      </c>
      <c r="G19">
        <v>4.6807593361637999E-2</v>
      </c>
    </row>
    <row r="20" spans="1:7" x14ac:dyDescent="0.2">
      <c r="A20">
        <f>PI()/(5)</f>
        <v>0.62831853071795862</v>
      </c>
      <c r="B20">
        <v>24.48</v>
      </c>
      <c r="C20">
        <v>0.193660588768411</v>
      </c>
      <c r="D20" s="1">
        <v>108.244441858919</v>
      </c>
      <c r="E20">
        <v>0.599178813069839</v>
      </c>
      <c r="F20">
        <v>5.8864593149797004</v>
      </c>
      <c r="G20">
        <v>0.135857196525351</v>
      </c>
    </row>
    <row r="21" spans="1:7" x14ac:dyDescent="0.2">
      <c r="A21">
        <f>PI()/(4)</f>
        <v>0.78539816339744828</v>
      </c>
      <c r="B21">
        <v>28.42</v>
      </c>
      <c r="C21">
        <v>0.27383775352959899</v>
      </c>
      <c r="D21" s="1">
        <v>108.36969052945901</v>
      </c>
      <c r="E21">
        <v>0.59239007709749303</v>
      </c>
      <c r="F21">
        <v>6.4797772126390303</v>
      </c>
      <c r="G21">
        <v>0.37487275205301701</v>
      </c>
    </row>
    <row r="22" spans="1:7" x14ac:dyDescent="0.2">
      <c r="A22">
        <f>PI()/(3)</f>
        <v>1.0471975511965976</v>
      </c>
      <c r="B22">
        <v>26.8</v>
      </c>
      <c r="C22">
        <v>0.28676676209314</v>
      </c>
      <c r="D22" s="1">
        <v>115.94755508552799</v>
      </c>
      <c r="E22">
        <v>0.60003748432486903</v>
      </c>
      <c r="F22">
        <v>6.3248784381564302</v>
      </c>
      <c r="G22">
        <v>0.235198807555802</v>
      </c>
    </row>
    <row r="23" spans="1:7" x14ac:dyDescent="0.2">
      <c r="A23">
        <f>PI()/(2)</f>
        <v>1.5707963267948966</v>
      </c>
      <c r="B23">
        <v>28.0399999999999</v>
      </c>
      <c r="C23">
        <v>0.21009293497100501</v>
      </c>
      <c r="D23" s="1">
        <v>120.633889143483</v>
      </c>
      <c r="E23">
        <v>8.9863613066404002E-2</v>
      </c>
      <c r="F23">
        <v>17.520709862459299</v>
      </c>
      <c r="G23">
        <v>0.29432371148208902</v>
      </c>
    </row>
    <row r="24" spans="1:7" x14ac:dyDescent="0.2">
      <c r="A24">
        <f>PI()/1</f>
        <v>3.1415926535897931</v>
      </c>
      <c r="B24">
        <v>25.899999999999899</v>
      </c>
      <c r="C24">
        <v>0.344047047328845</v>
      </c>
      <c r="D24" s="1">
        <v>116.77494260032999</v>
      </c>
      <c r="E24">
        <v>0.21848084756347</v>
      </c>
      <c r="F24">
        <v>16.7896517279992</v>
      </c>
      <c r="G24">
        <v>0.187351240185259</v>
      </c>
    </row>
    <row r="25" spans="1:7" x14ac:dyDescent="0.2">
      <c r="A25">
        <f>2*PI()/1</f>
        <v>6.2831853071795862</v>
      </c>
      <c r="B25">
        <v>44.92</v>
      </c>
      <c r="C25">
        <v>0.19202382852460001</v>
      </c>
      <c r="D25">
        <v>96.751875593644598</v>
      </c>
      <c r="E25">
        <v>0.39667699504272302</v>
      </c>
      <c r="F25">
        <v>17.0945676897528</v>
      </c>
      <c r="G25">
        <v>0.25648642004202998</v>
      </c>
    </row>
    <row r="26" spans="1:7" x14ac:dyDescent="0.2">
      <c r="A26">
        <f>3*PI()/1</f>
        <v>9.4247779607693793</v>
      </c>
      <c r="B26">
        <v>70</v>
      </c>
      <c r="C26">
        <v>0.17179558291181299</v>
      </c>
      <c r="D26">
        <v>75.618121165978096</v>
      </c>
      <c r="E26">
        <v>0.291615191353647</v>
      </c>
      <c r="F26">
        <v>17.0991109675799</v>
      </c>
      <c r="G26">
        <v>0.25699822540995798</v>
      </c>
    </row>
    <row r="27" spans="1:7" x14ac:dyDescent="0.2">
      <c r="A27">
        <f>4*PI()/1</f>
        <v>12.566370614359172</v>
      </c>
      <c r="B27">
        <v>92.34</v>
      </c>
      <c r="C27">
        <v>0.12282002831769299</v>
      </c>
      <c r="D27">
        <v>68.418699389194501</v>
      </c>
      <c r="E27">
        <v>0.37901704520977902</v>
      </c>
      <c r="F27">
        <v>14.1166926084625</v>
      </c>
      <c r="G27">
        <v>3.2888894398816003E-2</v>
      </c>
    </row>
    <row r="28" spans="1:7" x14ac:dyDescent="0.2">
      <c r="A28">
        <f>5*PI()/1</f>
        <v>15.707963267948966</v>
      </c>
      <c r="B28" s="1">
        <v>156.1</v>
      </c>
      <c r="C28">
        <v>5.2264186352669002E-2</v>
      </c>
      <c r="D28">
        <v>54.790674255255702</v>
      </c>
      <c r="E28">
        <v>0.106014952049649</v>
      </c>
      <c r="F28">
        <v>23.417337041019099</v>
      </c>
      <c r="G28">
        <v>0.25235231743207398</v>
      </c>
    </row>
    <row r="29" spans="1:7" x14ac:dyDescent="0.2">
      <c r="A29">
        <f>6*PI()/1</f>
        <v>18.849555921538759</v>
      </c>
      <c r="B29" s="1">
        <v>174.28</v>
      </c>
      <c r="C29">
        <v>8.5232052762891003E-2</v>
      </c>
      <c r="D29">
        <v>56.667810287183002</v>
      </c>
      <c r="E29">
        <v>0.335230078466975</v>
      </c>
      <c r="F29">
        <v>17.189578560005501</v>
      </c>
      <c r="G29">
        <v>0.33039959585497702</v>
      </c>
    </row>
    <row r="30" spans="1:7" x14ac:dyDescent="0.2">
      <c r="A30">
        <f>6*PI()/1</f>
        <v>18.849555921538759</v>
      </c>
      <c r="B30" s="1">
        <v>217.86</v>
      </c>
      <c r="C30">
        <v>0.102099469466152</v>
      </c>
      <c r="D30">
        <v>52.211298296403001</v>
      </c>
      <c r="E30">
        <v>0.36478628678949998</v>
      </c>
      <c r="F30">
        <v>14.8801361835115</v>
      </c>
      <c r="G30">
        <v>0.252133760441344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0E59-9E4F-48EC-9D4B-B8504507082F}">
  <dimension ref="A1:G30"/>
  <sheetViews>
    <sheetView workbookViewId="0">
      <selection activeCell="A30" sqref="A1:A30"/>
    </sheetView>
  </sheetViews>
  <sheetFormatPr defaultRowHeight="14.25" x14ac:dyDescent="0.2"/>
  <sheetData>
    <row r="1" spans="1:7" x14ac:dyDescent="0.2">
      <c r="A1">
        <v>0</v>
      </c>
      <c r="B1">
        <v>7.82</v>
      </c>
      <c r="C1">
        <v>0.56097839160251395</v>
      </c>
      <c r="D1">
        <v>49.149393140976201</v>
      </c>
      <c r="E1">
        <v>0.30859063859748698</v>
      </c>
      <c r="F1">
        <v>17.221234318918</v>
      </c>
      <c r="G1">
        <v>0.17269008011635201</v>
      </c>
    </row>
    <row r="2" spans="1:7" x14ac:dyDescent="0.2">
      <c r="A2">
        <v>0.1</v>
      </c>
      <c r="B2">
        <v>8.56</v>
      </c>
      <c r="C2">
        <v>0.30815850574651998</v>
      </c>
      <c r="D2">
        <v>63.731202226414503</v>
      </c>
      <c r="E2">
        <v>0.226196200427528</v>
      </c>
      <c r="F2">
        <v>20.8740074871274</v>
      </c>
      <c r="G2">
        <v>0.22482367020858099</v>
      </c>
    </row>
    <row r="3" spans="1:7" x14ac:dyDescent="0.2">
      <c r="A3">
        <v>0.2</v>
      </c>
      <c r="B3">
        <v>8.48</v>
      </c>
      <c r="C3">
        <v>0.51499633574108905</v>
      </c>
      <c r="D3">
        <v>61.746309311374901</v>
      </c>
      <c r="E3">
        <v>0.14086696531662499</v>
      </c>
      <c r="F3">
        <v>18.391873154917899</v>
      </c>
      <c r="G3">
        <v>0.321174555463758</v>
      </c>
    </row>
    <row r="4" spans="1:7" x14ac:dyDescent="0.2">
      <c r="A4">
        <v>0.3</v>
      </c>
      <c r="B4">
        <v>8.26</v>
      </c>
      <c r="C4">
        <v>0.37410796600630403</v>
      </c>
      <c r="D4">
        <v>84.872641972421306</v>
      </c>
      <c r="E4">
        <v>0.279526222275926</v>
      </c>
      <c r="F4">
        <v>18.282284658470399</v>
      </c>
      <c r="G4">
        <v>0.35959871051506798</v>
      </c>
    </row>
    <row r="5" spans="1:7" x14ac:dyDescent="0.2">
      <c r="A5">
        <v>0.4</v>
      </c>
      <c r="B5">
        <v>11.52</v>
      </c>
      <c r="C5">
        <v>0.52915839316813096</v>
      </c>
      <c r="D5">
        <v>93.900949765942599</v>
      </c>
      <c r="E5">
        <v>0.189236517993674</v>
      </c>
      <c r="F5">
        <v>21.854317220434702</v>
      </c>
      <c r="G5">
        <v>0.23202619338779301</v>
      </c>
    </row>
    <row r="6" spans="1:7" x14ac:dyDescent="0.2">
      <c r="A6">
        <v>0.5</v>
      </c>
      <c r="B6">
        <v>11.48</v>
      </c>
      <c r="C6">
        <v>0.38763196346627898</v>
      </c>
      <c r="D6" s="1">
        <v>103.61264421841</v>
      </c>
      <c r="E6">
        <v>0.116529261485041</v>
      </c>
      <c r="F6">
        <v>22.763215843029801</v>
      </c>
      <c r="G6">
        <v>0.18093934386112301</v>
      </c>
    </row>
    <row r="7" spans="1:7" x14ac:dyDescent="0.2">
      <c r="A7">
        <v>0.6</v>
      </c>
      <c r="B7">
        <v>14.32</v>
      </c>
      <c r="C7">
        <v>0.36477326571298702</v>
      </c>
      <c r="D7" s="1">
        <v>106.327041509746</v>
      </c>
      <c r="E7">
        <v>0.25265153517623301</v>
      </c>
      <c r="F7">
        <v>18.236635389751498</v>
      </c>
      <c r="G7">
        <v>0.32529977678873701</v>
      </c>
    </row>
    <row r="8" spans="1:7" x14ac:dyDescent="0.2">
      <c r="A8">
        <v>0.7</v>
      </c>
      <c r="B8">
        <v>16.440000000000001</v>
      </c>
      <c r="C8">
        <v>0.49768110315969999</v>
      </c>
      <c r="D8" s="1">
        <v>106.07948156698799</v>
      </c>
      <c r="E8">
        <v>9.0452220541884995E-2</v>
      </c>
      <c r="F8">
        <v>22.051730179664201</v>
      </c>
      <c r="G8">
        <v>0.32288289117422397</v>
      </c>
    </row>
    <row r="9" spans="1:7" x14ac:dyDescent="0.2">
      <c r="A9">
        <v>0.8</v>
      </c>
      <c r="B9">
        <v>21.0399999999999</v>
      </c>
      <c r="C9">
        <v>0.17084168771236599</v>
      </c>
      <c r="D9" s="1">
        <v>109.814254622698</v>
      </c>
      <c r="E9">
        <v>0.40928943552305302</v>
      </c>
      <c r="F9">
        <v>14.733902506717399</v>
      </c>
      <c r="G9">
        <v>0.146000504544291</v>
      </c>
    </row>
    <row r="10" spans="1:7" x14ac:dyDescent="0.2">
      <c r="A10">
        <v>0.9</v>
      </c>
      <c r="B10">
        <v>26.64</v>
      </c>
      <c r="C10">
        <v>0.113508091042373</v>
      </c>
      <c r="D10" s="1">
        <v>117.63642825667</v>
      </c>
      <c r="E10">
        <v>1.0313322827125999E-2</v>
      </c>
      <c r="F10">
        <v>26.658485553098501</v>
      </c>
      <c r="G10">
        <v>0.28807915852698801</v>
      </c>
    </row>
    <row r="11" spans="1:7" x14ac:dyDescent="0.2">
      <c r="A11">
        <v>1</v>
      </c>
      <c r="B11">
        <v>28.84</v>
      </c>
      <c r="C11">
        <v>0.17486347377445599</v>
      </c>
      <c r="D11" s="1">
        <v>123.667223676061</v>
      </c>
      <c r="E11">
        <v>0.36765075755386301</v>
      </c>
      <c r="F11">
        <v>16.459152638424101</v>
      </c>
      <c r="G11">
        <v>0.114126249221728</v>
      </c>
    </row>
    <row r="12" spans="1:7" x14ac:dyDescent="0.2">
      <c r="A12">
        <v>1.1000000000000001</v>
      </c>
      <c r="B12">
        <v>30.78</v>
      </c>
      <c r="C12">
        <v>0.17581668808325701</v>
      </c>
      <c r="D12" s="1">
        <v>116.97513321672101</v>
      </c>
      <c r="E12">
        <v>0.183967537221291</v>
      </c>
      <c r="F12">
        <v>17.3510792298331</v>
      </c>
      <c r="G12">
        <v>0.25330631807550802</v>
      </c>
    </row>
    <row r="13" spans="1:7" x14ac:dyDescent="0.2">
      <c r="A13">
        <v>1.2</v>
      </c>
      <c r="B13">
        <v>34.96</v>
      </c>
      <c r="C13">
        <v>0.179830402232286</v>
      </c>
      <c r="D13" s="1">
        <v>127.496668598602</v>
      </c>
      <c r="E13">
        <v>0.27216025905361002</v>
      </c>
      <c r="F13">
        <v>17.1421146923654</v>
      </c>
      <c r="G13">
        <v>0.18594396222939599</v>
      </c>
    </row>
    <row r="14" spans="1:7" x14ac:dyDescent="0.2">
      <c r="A14">
        <v>1.3</v>
      </c>
      <c r="B14">
        <v>39.079999999999899</v>
      </c>
      <c r="C14">
        <v>8.4995253892115E-2</v>
      </c>
      <c r="D14" s="1">
        <v>123.884555015163</v>
      </c>
      <c r="E14">
        <v>0.18135035104642599</v>
      </c>
      <c r="F14">
        <v>19.1006029067435</v>
      </c>
      <c r="G14">
        <v>0.48338333234679398</v>
      </c>
    </row>
    <row r="15" spans="1:7" x14ac:dyDescent="0.2">
      <c r="A15">
        <v>1.4</v>
      </c>
      <c r="B15">
        <v>45.979999999999897</v>
      </c>
      <c r="C15">
        <v>0.13361299847472799</v>
      </c>
      <c r="D15" s="1">
        <v>118.238947915683</v>
      </c>
      <c r="E15">
        <v>0.225680269168784</v>
      </c>
      <c r="F15">
        <v>20.935595821834902</v>
      </c>
      <c r="G15">
        <v>0.36777845907892798</v>
      </c>
    </row>
    <row r="16" spans="1:7" x14ac:dyDescent="0.2">
      <c r="A16">
        <v>1.5</v>
      </c>
      <c r="B16">
        <v>48.84</v>
      </c>
      <c r="C16">
        <v>0.13867836081736001</v>
      </c>
      <c r="D16" s="1">
        <v>116.776558106241</v>
      </c>
      <c r="E16">
        <v>0.40182888841426501</v>
      </c>
      <c r="F16">
        <v>15.190095791458599</v>
      </c>
      <c r="G16">
        <v>0.20806536590811001</v>
      </c>
    </row>
    <row r="17" spans="1:7" x14ac:dyDescent="0.2">
      <c r="A17">
        <v>1.6</v>
      </c>
      <c r="B17">
        <v>54.32</v>
      </c>
      <c r="C17">
        <v>0.13804234133184001</v>
      </c>
      <c r="D17" s="1">
        <v>115.629416347128</v>
      </c>
      <c r="E17">
        <v>0.126407605242147</v>
      </c>
      <c r="F17">
        <v>17.859514766367699</v>
      </c>
      <c r="G17">
        <v>0.32610343025904398</v>
      </c>
    </row>
    <row r="18" spans="1:7" x14ac:dyDescent="0.2">
      <c r="A18">
        <v>1.7</v>
      </c>
      <c r="B18">
        <v>56.579999999999899</v>
      </c>
      <c r="C18">
        <v>0.13502724986713099</v>
      </c>
      <c r="D18" s="1">
        <v>112.335691065945</v>
      </c>
      <c r="E18">
        <v>0.133716999949859</v>
      </c>
      <c r="F18">
        <v>20.584274618761</v>
      </c>
      <c r="G18">
        <v>5.5553838581051999E-2</v>
      </c>
    </row>
    <row r="19" spans="1:7" x14ac:dyDescent="0.2">
      <c r="A19">
        <v>1.8</v>
      </c>
      <c r="B19">
        <v>62.799999999999898</v>
      </c>
      <c r="C19">
        <v>7.7849655126613002E-2</v>
      </c>
      <c r="D19" s="1">
        <v>106.519078538041</v>
      </c>
      <c r="E19">
        <v>0.24485972983460999</v>
      </c>
      <c r="F19">
        <v>17.113933630223499</v>
      </c>
      <c r="G19">
        <v>6.1543668571686E-2</v>
      </c>
    </row>
    <row r="20" spans="1:7" x14ac:dyDescent="0.2">
      <c r="A20">
        <v>1.9</v>
      </c>
      <c r="B20">
        <v>72.400000000000006</v>
      </c>
      <c r="C20">
        <v>0.102387344977592</v>
      </c>
      <c r="D20" s="1">
        <v>107.941656428233</v>
      </c>
      <c r="E20">
        <v>0.46174545597122801</v>
      </c>
      <c r="F20">
        <v>16.464286365608199</v>
      </c>
      <c r="G20">
        <v>0.34594349049408801</v>
      </c>
    </row>
    <row r="21" spans="1:7" x14ac:dyDescent="0.2">
      <c r="A21">
        <v>2</v>
      </c>
      <c r="B21">
        <v>66.299999999999898</v>
      </c>
      <c r="C21">
        <v>8.6222245094791997E-2</v>
      </c>
      <c r="D21" s="1">
        <v>112.29736741131001</v>
      </c>
      <c r="E21">
        <v>0.62967153675631604</v>
      </c>
      <c r="F21">
        <v>14.0467717849926</v>
      </c>
      <c r="G21">
        <v>0.18586198818996</v>
      </c>
    </row>
    <row r="22" spans="1:7" x14ac:dyDescent="0.2">
      <c r="A22">
        <v>2.1</v>
      </c>
      <c r="B22">
        <v>75.06</v>
      </c>
      <c r="C22">
        <v>8.9144467361454996E-2</v>
      </c>
      <c r="D22" s="1">
        <v>104.959356858193</v>
      </c>
      <c r="E22">
        <v>0.25434439612097998</v>
      </c>
      <c r="F22">
        <v>20.4304532817312</v>
      </c>
      <c r="G22">
        <v>0.15973049842303499</v>
      </c>
    </row>
    <row r="23" spans="1:7" x14ac:dyDescent="0.2">
      <c r="A23">
        <v>2.2000000000000002</v>
      </c>
      <c r="B23">
        <v>79.879999999999896</v>
      </c>
      <c r="C23">
        <v>0.14633863871085201</v>
      </c>
      <c r="D23" s="1">
        <v>101.55808719207801</v>
      </c>
      <c r="E23">
        <v>0.40881768522197298</v>
      </c>
      <c r="F23">
        <v>15.38579977012</v>
      </c>
      <c r="G23">
        <v>3.4906050153949E-2</v>
      </c>
    </row>
    <row r="24" spans="1:7" x14ac:dyDescent="0.2">
      <c r="A24">
        <v>2.2999999999999998</v>
      </c>
      <c r="B24">
        <v>86.659999999999897</v>
      </c>
      <c r="C24">
        <v>9.0149407762962999E-2</v>
      </c>
      <c r="D24">
        <v>98.091931575307598</v>
      </c>
      <c r="E24">
        <v>0.30727847472036401</v>
      </c>
      <c r="F24">
        <v>16.7921577547875</v>
      </c>
      <c r="G24">
        <v>8.1265924950378002E-2</v>
      </c>
    </row>
    <row r="25" spans="1:7" x14ac:dyDescent="0.2">
      <c r="A25">
        <v>2.4</v>
      </c>
      <c r="B25">
        <v>85.54</v>
      </c>
      <c r="C25">
        <v>0.12979824776596299</v>
      </c>
      <c r="D25" s="1">
        <v>100.614123590799</v>
      </c>
      <c r="E25">
        <v>0.26344439631462502</v>
      </c>
      <c r="F25">
        <v>18.781480254021901</v>
      </c>
      <c r="G25">
        <v>0.122383066044158</v>
      </c>
    </row>
    <row r="26" spans="1:7" x14ac:dyDescent="0.2">
      <c r="A26">
        <v>2.5</v>
      </c>
      <c r="B26">
        <v>91.579999999999899</v>
      </c>
      <c r="C26">
        <v>9.6518674249332997E-2</v>
      </c>
      <c r="D26">
        <v>95.3986477973815</v>
      </c>
      <c r="E26">
        <v>7.7181130342164006E-2</v>
      </c>
      <c r="F26">
        <v>21.257181507727701</v>
      </c>
      <c r="G26">
        <v>0.48759285540450797</v>
      </c>
    </row>
    <row r="27" spans="1:7" x14ac:dyDescent="0.2">
      <c r="A27">
        <v>2.6</v>
      </c>
      <c r="B27">
        <v>98.739999999999895</v>
      </c>
      <c r="C27">
        <v>0.12761602047905099</v>
      </c>
      <c r="D27">
        <v>91.662893379887095</v>
      </c>
      <c r="E27">
        <v>-0.19359192711650999</v>
      </c>
      <c r="F27">
        <v>26.610937664682499</v>
      </c>
      <c r="G27">
        <v>0.34000227059796501</v>
      </c>
    </row>
    <row r="28" spans="1:7" x14ac:dyDescent="0.2">
      <c r="A28">
        <v>2.7</v>
      </c>
      <c r="B28">
        <v>105</v>
      </c>
      <c r="C28">
        <v>6.9387395564197998E-2</v>
      </c>
      <c r="D28">
        <v>88.622218922912396</v>
      </c>
      <c r="E28">
        <v>-3.9692661904996998E-2</v>
      </c>
      <c r="F28">
        <v>24.908068762679498</v>
      </c>
      <c r="G28">
        <v>0.38565262006845102</v>
      </c>
    </row>
    <row r="29" spans="1:7" x14ac:dyDescent="0.2">
      <c r="A29">
        <v>2.8</v>
      </c>
      <c r="B29" s="1">
        <v>104.82</v>
      </c>
      <c r="C29">
        <v>5.5659265019240997E-2</v>
      </c>
      <c r="D29">
        <v>90.8055112369195</v>
      </c>
      <c r="E29">
        <v>0.245202903335421</v>
      </c>
      <c r="F29">
        <v>20.003596254746199</v>
      </c>
      <c r="G29">
        <v>0.181849911090465</v>
      </c>
    </row>
    <row r="30" spans="1:7" x14ac:dyDescent="0.2">
      <c r="A30">
        <v>2.9</v>
      </c>
      <c r="B30" s="1">
        <v>113.66</v>
      </c>
      <c r="C30">
        <v>0.120262762835302</v>
      </c>
      <c r="D30">
        <v>89.565540138735997</v>
      </c>
      <c r="E30">
        <v>0.223363997947539</v>
      </c>
      <c r="F30">
        <v>19.545318924859</v>
      </c>
      <c r="G30">
        <v>0.41125934304108203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6CA5-4415-48EF-BEB1-CFCDF45F1A4C}">
  <dimension ref="A1:G30"/>
  <sheetViews>
    <sheetView workbookViewId="0">
      <selection activeCell="G25" sqref="G25:G30"/>
    </sheetView>
  </sheetViews>
  <sheetFormatPr defaultRowHeight="14.25" x14ac:dyDescent="0.2"/>
  <sheetData>
    <row r="1" spans="1:7" x14ac:dyDescent="0.2">
      <c r="A1">
        <v>0</v>
      </c>
      <c r="B1">
        <v>11.66</v>
      </c>
      <c r="C1">
        <v>0.19353579680799399</v>
      </c>
      <c r="D1" s="1">
        <v>115.58959527378801</v>
      </c>
      <c r="E1">
        <v>0.20695177402701501</v>
      </c>
      <c r="F1">
        <v>19.000245539503101</v>
      </c>
      <c r="G1">
        <v>0.33743801294718401</v>
      </c>
    </row>
    <row r="2" spans="1:7" x14ac:dyDescent="0.2">
      <c r="A2">
        <v>0.1</v>
      </c>
      <c r="B2">
        <v>12.14</v>
      </c>
      <c r="C2">
        <v>0.58917237969969505</v>
      </c>
      <c r="D2" s="1">
        <v>126.578750160781</v>
      </c>
      <c r="E2">
        <v>0.18106346796784301</v>
      </c>
      <c r="F2">
        <v>20.121393566079099</v>
      </c>
      <c r="G2">
        <v>0.34185622188293302</v>
      </c>
    </row>
    <row r="3" spans="1:7" x14ac:dyDescent="0.2">
      <c r="A3">
        <v>0.2</v>
      </c>
      <c r="B3">
        <v>11.2799999999999</v>
      </c>
      <c r="C3">
        <v>0.51947570261060105</v>
      </c>
      <c r="D3" s="1">
        <v>121.93840196600701</v>
      </c>
      <c r="E3">
        <v>0.28810844696674098</v>
      </c>
      <c r="F3">
        <v>15.8693898474662</v>
      </c>
      <c r="G3">
        <v>4.6544162668027002E-2</v>
      </c>
    </row>
    <row r="4" spans="1:7" x14ac:dyDescent="0.2">
      <c r="A4">
        <v>0.3</v>
      </c>
      <c r="B4">
        <v>13.46</v>
      </c>
      <c r="C4">
        <v>0.41630017313885198</v>
      </c>
      <c r="D4" s="1">
        <v>118.771817080597</v>
      </c>
      <c r="E4">
        <v>0.52139743898594404</v>
      </c>
      <c r="F4">
        <v>13.2937461883316</v>
      </c>
      <c r="G4">
        <v>8.7751447895129994E-2</v>
      </c>
    </row>
    <row r="5" spans="1:7" x14ac:dyDescent="0.2">
      <c r="A5">
        <v>0.4</v>
      </c>
      <c r="B5">
        <v>15.3</v>
      </c>
      <c r="C5">
        <v>0.27736624119071901</v>
      </c>
      <c r="D5" s="1">
        <v>120.33607939226999</v>
      </c>
      <c r="E5">
        <v>4.3796686847205002E-2</v>
      </c>
      <c r="F5">
        <v>25.215220952447599</v>
      </c>
      <c r="G5">
        <v>0.28806111981898802</v>
      </c>
    </row>
    <row r="6" spans="1:7" x14ac:dyDescent="0.2">
      <c r="A6">
        <v>0.5</v>
      </c>
      <c r="B6">
        <v>15.9</v>
      </c>
      <c r="C6">
        <v>0.71227556343256804</v>
      </c>
      <c r="D6" s="1">
        <v>124.954387613771</v>
      </c>
      <c r="E6">
        <v>0.115195682593913</v>
      </c>
      <c r="F6">
        <v>22.315251529627002</v>
      </c>
      <c r="G6">
        <v>8.3275262218067997E-2</v>
      </c>
    </row>
    <row r="7" spans="1:7" x14ac:dyDescent="0.2">
      <c r="A7">
        <v>0.6</v>
      </c>
      <c r="B7">
        <v>16.219999999999899</v>
      </c>
      <c r="C7">
        <v>0.202248764996171</v>
      </c>
      <c r="D7" s="1">
        <v>127.868674744166</v>
      </c>
      <c r="E7">
        <v>0.35873495696722901</v>
      </c>
      <c r="F7">
        <v>16.758997981819899</v>
      </c>
      <c r="G7">
        <v>0.23225994341957501</v>
      </c>
    </row>
    <row r="8" spans="1:7" x14ac:dyDescent="0.2">
      <c r="A8">
        <v>0.7</v>
      </c>
      <c r="B8">
        <v>21.28</v>
      </c>
      <c r="C8">
        <v>0.13224062600800399</v>
      </c>
      <c r="D8" s="1">
        <v>110.995647582286</v>
      </c>
      <c r="E8">
        <v>0.36077505395930498</v>
      </c>
      <c r="F8">
        <v>15.671696508583</v>
      </c>
      <c r="G8">
        <v>0.16235499605289999</v>
      </c>
    </row>
    <row r="9" spans="1:7" x14ac:dyDescent="0.2">
      <c r="A9">
        <v>0.8</v>
      </c>
      <c r="B9">
        <v>20.739999999999899</v>
      </c>
      <c r="C9">
        <v>0.27005623518920202</v>
      </c>
      <c r="D9" s="1">
        <v>122.579877062411</v>
      </c>
      <c r="E9">
        <v>0.45115181564972401</v>
      </c>
      <c r="F9">
        <v>14.5811027895487</v>
      </c>
      <c r="G9">
        <v>0.27977717842550598</v>
      </c>
    </row>
    <row r="10" spans="1:7" x14ac:dyDescent="0.2">
      <c r="A10">
        <v>0.9</v>
      </c>
      <c r="B10">
        <v>24.46</v>
      </c>
      <c r="C10">
        <v>0.25214065938000402</v>
      </c>
      <c r="D10" s="1">
        <v>114.287254778939</v>
      </c>
      <c r="E10">
        <v>0.33677983729593203</v>
      </c>
      <c r="F10">
        <v>15.0794825686195</v>
      </c>
      <c r="G10">
        <v>0.12289926255891</v>
      </c>
    </row>
    <row r="11" spans="1:7" x14ac:dyDescent="0.2">
      <c r="A11">
        <v>1</v>
      </c>
      <c r="B11">
        <v>29.239999999999899</v>
      </c>
      <c r="C11">
        <v>0.210865577470496</v>
      </c>
      <c r="D11" s="1">
        <v>116.993068108608</v>
      </c>
      <c r="E11">
        <v>0.30845333782937501</v>
      </c>
      <c r="F11">
        <v>17.7849922591545</v>
      </c>
      <c r="G11">
        <v>0.27937224503615798</v>
      </c>
    </row>
    <row r="12" spans="1:7" x14ac:dyDescent="0.2">
      <c r="A12">
        <v>1.1000000000000001</v>
      </c>
      <c r="B12">
        <v>32.68</v>
      </c>
      <c r="C12">
        <v>0.22527304115939101</v>
      </c>
      <c r="D12" s="1">
        <v>115.044680120149</v>
      </c>
      <c r="E12">
        <v>-6.9218635646410001E-3</v>
      </c>
      <c r="F12">
        <v>26.417979946243001</v>
      </c>
      <c r="G12">
        <v>0.21990362226514901</v>
      </c>
    </row>
    <row r="13" spans="1:7" x14ac:dyDescent="0.2">
      <c r="A13">
        <v>1.2</v>
      </c>
      <c r="B13">
        <v>36.619999999999898</v>
      </c>
      <c r="C13">
        <v>0.115448070128224</v>
      </c>
      <c r="D13" s="1">
        <v>119.417028743679</v>
      </c>
      <c r="E13">
        <v>3.9778686732861002E-2</v>
      </c>
      <c r="F13">
        <v>25.903345823552801</v>
      </c>
      <c r="G13">
        <v>0.46112462261554299</v>
      </c>
    </row>
    <row r="14" spans="1:7" x14ac:dyDescent="0.2">
      <c r="A14">
        <v>1.3</v>
      </c>
      <c r="B14">
        <v>35.14</v>
      </c>
      <c r="C14">
        <v>0.16669493000638999</v>
      </c>
      <c r="D14" s="1">
        <v>111.07110524409001</v>
      </c>
      <c r="E14">
        <v>0.16722073497896101</v>
      </c>
      <c r="F14">
        <v>18.7715534788972</v>
      </c>
      <c r="G14">
        <v>0.23983916950890299</v>
      </c>
    </row>
    <row r="15" spans="1:7" x14ac:dyDescent="0.2">
      <c r="A15">
        <v>1.4</v>
      </c>
      <c r="B15">
        <v>41.56</v>
      </c>
      <c r="C15">
        <v>0.182849179973537</v>
      </c>
      <c r="D15" s="1">
        <v>114.969891261594</v>
      </c>
      <c r="E15">
        <v>0.34820835116668197</v>
      </c>
      <c r="F15">
        <v>16.063426739047699</v>
      </c>
      <c r="G15">
        <v>0.34374570721182102</v>
      </c>
    </row>
    <row r="16" spans="1:7" x14ac:dyDescent="0.2">
      <c r="A16">
        <v>1.5</v>
      </c>
      <c r="B16">
        <v>46.46</v>
      </c>
      <c r="C16">
        <v>5.5408495924922002E-2</v>
      </c>
      <c r="D16" s="1">
        <v>120.849557377653</v>
      </c>
      <c r="E16">
        <v>0.324755594246951</v>
      </c>
      <c r="F16">
        <v>19.157679518006301</v>
      </c>
      <c r="G16">
        <v>0.21301482160590801</v>
      </c>
    </row>
    <row r="17" spans="1:7" x14ac:dyDescent="0.2">
      <c r="A17">
        <v>1.6</v>
      </c>
      <c r="B17">
        <v>48.899999999999899</v>
      </c>
      <c r="C17">
        <v>0.14321504124047199</v>
      </c>
      <c r="D17" s="1">
        <v>117.587820425423</v>
      </c>
      <c r="E17">
        <v>0.46988399008413001</v>
      </c>
      <c r="F17">
        <v>17.179636812916499</v>
      </c>
      <c r="G17">
        <v>0.11110248937725201</v>
      </c>
    </row>
    <row r="18" spans="1:7" x14ac:dyDescent="0.2">
      <c r="A18">
        <v>1.7</v>
      </c>
      <c r="B18">
        <v>44.64</v>
      </c>
      <c r="C18">
        <v>0.153584461591868</v>
      </c>
      <c r="D18" s="1">
        <v>113.714603061142</v>
      </c>
      <c r="E18">
        <v>0.154790248332039</v>
      </c>
      <c r="F18">
        <v>20.242275433246</v>
      </c>
      <c r="G18">
        <v>0.50225568734111803</v>
      </c>
    </row>
    <row r="19" spans="1:7" x14ac:dyDescent="0.2">
      <c r="A19">
        <v>1.8</v>
      </c>
      <c r="B19">
        <v>50.759999999999899</v>
      </c>
      <c r="C19">
        <v>4.6973532813065003E-2</v>
      </c>
      <c r="D19" s="1">
        <v>109.131674677856</v>
      </c>
      <c r="E19">
        <v>0.101658346590058</v>
      </c>
      <c r="F19">
        <v>23.049124297689499</v>
      </c>
      <c r="G19">
        <v>0.13748847532012601</v>
      </c>
    </row>
    <row r="20" spans="1:7" x14ac:dyDescent="0.2">
      <c r="A20">
        <v>1.9</v>
      </c>
      <c r="B20">
        <v>51.7</v>
      </c>
      <c r="C20">
        <v>8.3361760431332005E-2</v>
      </c>
      <c r="D20" s="1">
        <v>113.58901209087</v>
      </c>
      <c r="E20">
        <v>0.21967419967235799</v>
      </c>
      <c r="F20">
        <v>18.701151821150798</v>
      </c>
      <c r="G20">
        <v>0.20608657741042899</v>
      </c>
    </row>
    <row r="21" spans="1:7" x14ac:dyDescent="0.2">
      <c r="A21">
        <v>2</v>
      </c>
      <c r="B21">
        <v>53.5</v>
      </c>
      <c r="C21">
        <v>6.8312646404831007E-2</v>
      </c>
      <c r="D21" s="1">
        <v>109.93260214126801</v>
      </c>
      <c r="E21">
        <v>0.161288690742836</v>
      </c>
      <c r="F21">
        <v>28.572951063467499</v>
      </c>
      <c r="G21">
        <v>0.229081815927697</v>
      </c>
    </row>
    <row r="22" spans="1:7" x14ac:dyDescent="0.2">
      <c r="A22">
        <v>2.1</v>
      </c>
      <c r="B22">
        <v>61.299999999999898</v>
      </c>
      <c r="C22">
        <v>0.117555331073564</v>
      </c>
      <c r="D22" s="1">
        <v>112.92189298371299</v>
      </c>
      <c r="E22">
        <v>5.5984668197230003E-3</v>
      </c>
      <c r="F22">
        <v>24.826727723943598</v>
      </c>
      <c r="G22">
        <v>5.7981277051409999E-2</v>
      </c>
    </row>
    <row r="23" spans="1:7" x14ac:dyDescent="0.2">
      <c r="A23">
        <v>2.2000000000000002</v>
      </c>
      <c r="B23">
        <v>58.7</v>
      </c>
      <c r="C23">
        <v>5.1222462173731997E-2</v>
      </c>
      <c r="D23" s="1">
        <v>106.588998051397</v>
      </c>
      <c r="E23">
        <v>0.17494360369964301</v>
      </c>
      <c r="F23">
        <v>23.539810884268199</v>
      </c>
      <c r="G23">
        <v>8.9501375822776993E-2</v>
      </c>
    </row>
    <row r="24" spans="1:7" x14ac:dyDescent="0.2">
      <c r="A24">
        <v>2.2999999999999998</v>
      </c>
      <c r="B24">
        <v>61.119999999999898</v>
      </c>
      <c r="C24">
        <v>7.3113804135293003E-2</v>
      </c>
      <c r="D24" s="1">
        <v>105.20135823003299</v>
      </c>
      <c r="E24">
        <v>0.128200800939266</v>
      </c>
      <c r="F24">
        <v>25.914535656255399</v>
      </c>
      <c r="G24">
        <v>0.35172995615936298</v>
      </c>
    </row>
    <row r="25" spans="1:7" x14ac:dyDescent="0.2">
      <c r="A25">
        <v>2.4</v>
      </c>
      <c r="B25">
        <v>61.82</v>
      </c>
      <c r="C25">
        <v>7.4820769680478003E-2</v>
      </c>
      <c r="D25" s="1">
        <v>106.024359734211</v>
      </c>
      <c r="E25">
        <v>0.17772255127943401</v>
      </c>
      <c r="F25">
        <v>19.237421446475199</v>
      </c>
      <c r="G25">
        <v>0.41389144963859698</v>
      </c>
    </row>
    <row r="26" spans="1:7" x14ac:dyDescent="0.2">
      <c r="A26">
        <v>2.5</v>
      </c>
      <c r="B26">
        <v>68.92</v>
      </c>
      <c r="C26">
        <v>8.5224180490094004E-2</v>
      </c>
      <c r="D26" s="1">
        <v>104.50942539021101</v>
      </c>
      <c r="E26">
        <v>0.164829906459</v>
      </c>
      <c r="F26">
        <v>24.095653177596901</v>
      </c>
      <c r="G26">
        <v>0.30504928232717698</v>
      </c>
    </row>
    <row r="27" spans="1:7" x14ac:dyDescent="0.2">
      <c r="A27">
        <v>2.6</v>
      </c>
      <c r="B27">
        <v>64.959999999999894</v>
      </c>
      <c r="C27">
        <v>0.11460240482068999</v>
      </c>
      <c r="D27" s="1">
        <v>108.54071983604101</v>
      </c>
      <c r="E27">
        <v>0.15402869862483501</v>
      </c>
      <c r="F27">
        <v>23.226079453707701</v>
      </c>
      <c r="G27">
        <v>0.45421009870106299</v>
      </c>
    </row>
    <row r="28" spans="1:7" x14ac:dyDescent="0.2">
      <c r="A28">
        <v>2.7</v>
      </c>
      <c r="B28">
        <v>65.56</v>
      </c>
      <c r="C28">
        <v>7.4710974750828996E-2</v>
      </c>
      <c r="D28" s="1">
        <v>102.137209002769</v>
      </c>
      <c r="E28">
        <v>0.20269085889465499</v>
      </c>
      <c r="F28">
        <v>20.481221326164899</v>
      </c>
      <c r="G28">
        <v>0.17226148629482099</v>
      </c>
    </row>
    <row r="29" spans="1:7" x14ac:dyDescent="0.2">
      <c r="A29">
        <v>2.8</v>
      </c>
      <c r="B29">
        <v>68.519999999999897</v>
      </c>
      <c r="C29">
        <v>0.11392380384882</v>
      </c>
      <c r="D29" s="1">
        <v>107.227670546903</v>
      </c>
      <c r="E29">
        <v>0.155162604485899</v>
      </c>
      <c r="F29">
        <v>24.455874195423402</v>
      </c>
      <c r="G29">
        <v>0.26571320925874398</v>
      </c>
    </row>
    <row r="30" spans="1:7" x14ac:dyDescent="0.2">
      <c r="A30">
        <v>2.9</v>
      </c>
      <c r="B30">
        <v>67.28</v>
      </c>
      <c r="C30">
        <v>9.4573064233874002E-2</v>
      </c>
      <c r="D30" s="1">
        <v>101.828599231844</v>
      </c>
      <c r="E30">
        <v>0.27438984983460601</v>
      </c>
      <c r="F30">
        <v>20.548797299088999</v>
      </c>
      <c r="G30">
        <v>0.11166484742753501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E2A6-757E-4B90-BE5D-EF57E2A35E4A}">
  <dimension ref="A1:G30"/>
  <sheetViews>
    <sheetView workbookViewId="0">
      <selection activeCell="G25" sqref="G25:G30"/>
    </sheetView>
  </sheetViews>
  <sheetFormatPr defaultRowHeight="14.25" x14ac:dyDescent="0.2"/>
  <sheetData>
    <row r="1" spans="1:7" x14ac:dyDescent="0.2">
      <c r="A1">
        <v>0</v>
      </c>
      <c r="B1">
        <v>27.64</v>
      </c>
      <c r="C1">
        <v>0.17967724823509701</v>
      </c>
      <c r="D1" s="1">
        <v>113.569668307993</v>
      </c>
      <c r="E1">
        <v>0.26020498815536902</v>
      </c>
      <c r="F1">
        <v>15.0428832059724</v>
      </c>
      <c r="G1">
        <v>0.21248768177371799</v>
      </c>
    </row>
    <row r="2" spans="1:7" x14ac:dyDescent="0.2">
      <c r="A2">
        <v>0.04</v>
      </c>
      <c r="B2">
        <v>30.78</v>
      </c>
      <c r="C2">
        <v>0.152456193534872</v>
      </c>
      <c r="D2" s="1">
        <v>119.215195808678</v>
      </c>
      <c r="E2">
        <v>0.35436138534943901</v>
      </c>
      <c r="F2">
        <v>18.547511876894099</v>
      </c>
      <c r="G2">
        <v>8.2366043873900993E-2</v>
      </c>
    </row>
    <row r="3" spans="1:7" x14ac:dyDescent="0.2">
      <c r="A3">
        <v>0.08</v>
      </c>
      <c r="B3">
        <v>31.219999999999899</v>
      </c>
      <c r="C3">
        <v>0.27521393651982801</v>
      </c>
      <c r="D3" s="1">
        <v>117.873201476791</v>
      </c>
      <c r="E3">
        <v>-5.3456755259713003E-2</v>
      </c>
      <c r="F3">
        <v>23.4471422477117</v>
      </c>
      <c r="G3">
        <v>0.25015748317811598</v>
      </c>
    </row>
    <row r="4" spans="1:7" x14ac:dyDescent="0.2">
      <c r="A4">
        <v>0.12</v>
      </c>
      <c r="B4">
        <v>31.1</v>
      </c>
      <c r="C4">
        <v>0.11809398478010499</v>
      </c>
      <c r="D4" s="1">
        <v>111.363846504503</v>
      </c>
      <c r="E4">
        <v>0.36674246764709401</v>
      </c>
      <c r="F4">
        <v>15.2229354048954</v>
      </c>
      <c r="G4">
        <v>0.35635616600726</v>
      </c>
    </row>
    <row r="5" spans="1:7" x14ac:dyDescent="0.2">
      <c r="A5">
        <v>0.16</v>
      </c>
      <c r="B5">
        <v>36.28</v>
      </c>
      <c r="C5">
        <v>0.19595418420218899</v>
      </c>
      <c r="D5" s="1">
        <v>99.385772719018902</v>
      </c>
      <c r="E5">
        <v>0.58056548753604198</v>
      </c>
      <c r="F5">
        <v>11.735097322550301</v>
      </c>
      <c r="G5">
        <v>8.5304091012538996E-2</v>
      </c>
    </row>
    <row r="6" spans="1:7" x14ac:dyDescent="0.2">
      <c r="A6">
        <v>0.2</v>
      </c>
      <c r="B6">
        <v>35.42</v>
      </c>
      <c r="C6">
        <v>0.27503650948821501</v>
      </c>
      <c r="D6" s="1">
        <v>98.416208678159904</v>
      </c>
      <c r="E6">
        <v>0.37979725188278302</v>
      </c>
      <c r="F6">
        <v>17.398829821039001</v>
      </c>
      <c r="G6">
        <v>0.35532914620292999</v>
      </c>
    </row>
    <row r="7" spans="1:7" x14ac:dyDescent="0.2">
      <c r="A7">
        <v>0.24</v>
      </c>
      <c r="B7">
        <v>34.899999999999899</v>
      </c>
      <c r="C7">
        <v>0.13859281238530399</v>
      </c>
      <c r="D7" s="1">
        <v>98.1290051947705</v>
      </c>
      <c r="E7">
        <v>0.155740601700633</v>
      </c>
      <c r="F7">
        <v>18.877293385428899</v>
      </c>
      <c r="G7">
        <v>0.21714583372468299</v>
      </c>
    </row>
    <row r="8" spans="1:7" x14ac:dyDescent="0.2">
      <c r="A8">
        <v>0.28000000000000003</v>
      </c>
      <c r="B8">
        <v>38.06</v>
      </c>
      <c r="C8">
        <v>0.293474222541796</v>
      </c>
      <c r="D8" s="1">
        <v>91.208999275740197</v>
      </c>
      <c r="E8">
        <v>0.304611009700617</v>
      </c>
      <c r="F8">
        <v>20.0932413650178</v>
      </c>
      <c r="G8">
        <v>0.29580633080559499</v>
      </c>
    </row>
    <row r="9" spans="1:7" x14ac:dyDescent="0.2">
      <c r="A9">
        <v>0.32</v>
      </c>
      <c r="B9">
        <v>51.159999999999897</v>
      </c>
      <c r="C9">
        <v>0.203514264262316</v>
      </c>
      <c r="D9" s="1">
        <v>71.647163738172594</v>
      </c>
      <c r="E9">
        <v>0.24842157582105401</v>
      </c>
      <c r="F9">
        <v>18.116965553173799</v>
      </c>
      <c r="G9">
        <v>0.30662617595798602</v>
      </c>
    </row>
    <row r="10" spans="1:7" x14ac:dyDescent="0.2">
      <c r="A10">
        <v>0.36</v>
      </c>
      <c r="B10">
        <v>46.979999999999897</v>
      </c>
      <c r="C10">
        <v>0.17596496494101799</v>
      </c>
      <c r="D10" s="1">
        <v>80.886405076318098</v>
      </c>
      <c r="E10">
        <v>0.21672267682149601</v>
      </c>
      <c r="F10">
        <v>20.311718149699999</v>
      </c>
      <c r="G10">
        <v>0.39966443336737201</v>
      </c>
    </row>
    <row r="11" spans="1:7" x14ac:dyDescent="0.2">
      <c r="A11">
        <v>0.4</v>
      </c>
      <c r="B11">
        <v>56.92</v>
      </c>
      <c r="C11">
        <v>0.17605516867729401</v>
      </c>
      <c r="D11" s="1">
        <v>68.355607032743904</v>
      </c>
      <c r="E11">
        <v>-7.3406989181509993E-2</v>
      </c>
      <c r="F11">
        <v>25.310768126600301</v>
      </c>
      <c r="G11">
        <v>0.26151337199320401</v>
      </c>
    </row>
    <row r="12" spans="1:7" x14ac:dyDescent="0.2">
      <c r="A12">
        <v>0.44</v>
      </c>
      <c r="B12">
        <v>52.84</v>
      </c>
      <c r="C12">
        <v>0.230193865252141</v>
      </c>
      <c r="D12" s="1">
        <v>80.155637422533403</v>
      </c>
      <c r="E12">
        <v>-0.23001992888785899</v>
      </c>
      <c r="F12">
        <v>37.284309771509797</v>
      </c>
      <c r="G12">
        <v>0.170825318160227</v>
      </c>
    </row>
    <row r="13" spans="1:7" x14ac:dyDescent="0.2">
      <c r="A13">
        <v>0.48</v>
      </c>
      <c r="B13">
        <v>51.439999999999898</v>
      </c>
      <c r="C13">
        <v>0.13847382025319499</v>
      </c>
      <c r="D13" s="1">
        <v>82.327730423588505</v>
      </c>
      <c r="E13">
        <v>0.52172710473659101</v>
      </c>
      <c r="F13">
        <v>17.4609147569942</v>
      </c>
      <c r="G13">
        <v>0.26860146686561698</v>
      </c>
    </row>
    <row r="14" spans="1:7" x14ac:dyDescent="0.2">
      <c r="A14">
        <v>0.52</v>
      </c>
      <c r="B14">
        <v>50.3599999999999</v>
      </c>
      <c r="C14">
        <v>0.12857106669924501</v>
      </c>
      <c r="D14" s="1">
        <v>76.058147413902006</v>
      </c>
      <c r="E14">
        <v>0.26783916145562903</v>
      </c>
      <c r="F14">
        <v>22.1115238598818</v>
      </c>
      <c r="G14">
        <v>0.39034221746344999</v>
      </c>
    </row>
    <row r="15" spans="1:7" x14ac:dyDescent="0.2">
      <c r="A15">
        <v>0.56000000000000005</v>
      </c>
      <c r="B15">
        <v>68.14</v>
      </c>
      <c r="C15">
        <v>0.165123593667927</v>
      </c>
      <c r="D15" s="1">
        <v>61.965955724873801</v>
      </c>
      <c r="E15">
        <v>0.17619397742991899</v>
      </c>
      <c r="F15">
        <v>21.746545313371499</v>
      </c>
      <c r="G15">
        <v>9.8359220253113E-2</v>
      </c>
    </row>
    <row r="16" spans="1:7" x14ac:dyDescent="0.2">
      <c r="A16">
        <v>0.6</v>
      </c>
      <c r="B16">
        <v>52.5399999999999</v>
      </c>
      <c r="C16">
        <v>0.17383440827402899</v>
      </c>
      <c r="D16" s="1">
        <v>74.973470219551004</v>
      </c>
      <c r="E16">
        <v>-0.112551866586386</v>
      </c>
      <c r="F16">
        <v>32.149846114324198</v>
      </c>
      <c r="G16">
        <v>0.324993335961414</v>
      </c>
    </row>
    <row r="17" spans="1:7" x14ac:dyDescent="0.2">
      <c r="A17">
        <v>0.64</v>
      </c>
      <c r="B17">
        <v>59.759999999999899</v>
      </c>
      <c r="C17">
        <v>0.20473767705856</v>
      </c>
      <c r="D17" s="1">
        <v>70.495710210267603</v>
      </c>
      <c r="E17">
        <v>0.17654928754159899</v>
      </c>
      <c r="F17">
        <v>20.173055214828999</v>
      </c>
      <c r="G17">
        <v>0.27339921632729502</v>
      </c>
    </row>
    <row r="18" spans="1:7" x14ac:dyDescent="0.2">
      <c r="A18">
        <v>0.68</v>
      </c>
      <c r="B18">
        <v>70.040000000000006</v>
      </c>
      <c r="C18">
        <v>0.163910449854378</v>
      </c>
      <c r="D18" s="1">
        <v>64.1017571309891</v>
      </c>
      <c r="E18">
        <v>0.176910671614499</v>
      </c>
      <c r="F18">
        <v>30.874315030173001</v>
      </c>
      <c r="G18">
        <v>8.7403811015229996E-2</v>
      </c>
    </row>
    <row r="19" spans="1:7" x14ac:dyDescent="0.2">
      <c r="A19">
        <v>0.72</v>
      </c>
      <c r="B19">
        <v>79.64</v>
      </c>
      <c r="C19">
        <v>0.13419917758498801</v>
      </c>
      <c r="D19" s="1">
        <v>61.886215111815503</v>
      </c>
      <c r="E19">
        <v>0.21387272285081499</v>
      </c>
      <c r="F19">
        <v>25.7335945840934</v>
      </c>
      <c r="G19">
        <v>0.20187757319191299</v>
      </c>
    </row>
    <row r="20" spans="1:7" x14ac:dyDescent="0.2">
      <c r="A20">
        <v>0.76</v>
      </c>
      <c r="B20">
        <v>63.02</v>
      </c>
      <c r="C20">
        <v>0.120792637642512</v>
      </c>
      <c r="D20" s="1">
        <v>71.8541669667934</v>
      </c>
      <c r="E20">
        <v>0.31282985243094802</v>
      </c>
      <c r="F20">
        <v>17.935151547963098</v>
      </c>
      <c r="G20">
        <v>0.205438986763848</v>
      </c>
    </row>
    <row r="21" spans="1:7" x14ac:dyDescent="0.2">
      <c r="A21">
        <v>0.8</v>
      </c>
      <c r="B21">
        <v>70.659999999999897</v>
      </c>
      <c r="C21">
        <v>0.214802574536654</v>
      </c>
      <c r="D21" s="1">
        <v>64.318877627223202</v>
      </c>
      <c r="E21">
        <v>0.56238087168000594</v>
      </c>
      <c r="F21">
        <v>12.3486149132432</v>
      </c>
      <c r="G21">
        <v>0.44377546632068499</v>
      </c>
    </row>
    <row r="22" spans="1:7" x14ac:dyDescent="0.2">
      <c r="A22">
        <v>0.84</v>
      </c>
      <c r="B22">
        <v>87.9</v>
      </c>
      <c r="C22">
        <v>0.14828847012597501</v>
      </c>
      <c r="D22" s="1">
        <v>60.351782066527399</v>
      </c>
      <c r="E22">
        <v>2.3521487826627E-2</v>
      </c>
      <c r="F22">
        <v>27.330465047601798</v>
      </c>
      <c r="G22">
        <v>0.26829590321804903</v>
      </c>
    </row>
    <row r="23" spans="1:7" x14ac:dyDescent="0.2">
      <c r="A23">
        <v>0.88</v>
      </c>
      <c r="B23">
        <v>76.900000000000006</v>
      </c>
      <c r="C23">
        <v>0.12865111392117901</v>
      </c>
      <c r="D23" s="1">
        <v>61.477517365346998</v>
      </c>
      <c r="E23">
        <v>0.133664494311168</v>
      </c>
      <c r="F23">
        <v>25.0053981465988</v>
      </c>
      <c r="G23">
        <v>0.28197786449328399</v>
      </c>
    </row>
    <row r="24" spans="1:7" x14ac:dyDescent="0.2">
      <c r="A24">
        <v>0.92</v>
      </c>
      <c r="B24" s="1">
        <v>106.62</v>
      </c>
      <c r="C24">
        <v>8.3190933006227E-2</v>
      </c>
      <c r="D24" s="1">
        <v>57.714375168773799</v>
      </c>
      <c r="E24">
        <v>0.25791866976849798</v>
      </c>
      <c r="F24">
        <v>25.820239493732402</v>
      </c>
      <c r="G24">
        <v>0.13134360383713201</v>
      </c>
    </row>
    <row r="25" spans="1:7" x14ac:dyDescent="0.2">
      <c r="A25">
        <v>0.96</v>
      </c>
      <c r="B25">
        <v>87.34</v>
      </c>
      <c r="C25">
        <v>0.164205605567317</v>
      </c>
      <c r="D25" s="1">
        <v>58.169526726349901</v>
      </c>
      <c r="E25">
        <v>0.110577000531839</v>
      </c>
      <c r="F25">
        <v>23.290129153369801</v>
      </c>
      <c r="G25">
        <v>0.10569228206341801</v>
      </c>
    </row>
    <row r="26" spans="1:7" x14ac:dyDescent="0.2">
      <c r="A26">
        <v>1</v>
      </c>
      <c r="B26">
        <v>86.379999999999896</v>
      </c>
      <c r="C26">
        <v>0.183805201229885</v>
      </c>
      <c r="D26" s="1">
        <v>60.6813724459019</v>
      </c>
      <c r="E26">
        <v>0.22342370679020601</v>
      </c>
      <c r="F26">
        <v>19.937065596008399</v>
      </c>
      <c r="G26">
        <v>0.37241329116720301</v>
      </c>
    </row>
    <row r="27" spans="1:7" x14ac:dyDescent="0.2">
      <c r="A27">
        <v>1.04</v>
      </c>
      <c r="B27">
        <v>94.8599999999999</v>
      </c>
      <c r="C27">
        <v>0.145076841269801</v>
      </c>
      <c r="D27" s="1">
        <v>61.827967288588397</v>
      </c>
      <c r="E27">
        <v>0.26033033132334399</v>
      </c>
      <c r="F27">
        <v>28.6563992547485</v>
      </c>
      <c r="G27">
        <v>0.30596448950324201</v>
      </c>
    </row>
    <row r="28" spans="1:7" x14ac:dyDescent="0.2">
      <c r="A28">
        <v>1.08</v>
      </c>
      <c r="B28">
        <v>90.879999999999896</v>
      </c>
      <c r="C28">
        <v>0.15771036853527401</v>
      </c>
      <c r="D28" s="1">
        <v>55.031296992358001</v>
      </c>
      <c r="E28">
        <v>0.19760609670738399</v>
      </c>
      <c r="F28">
        <v>25.985841082984301</v>
      </c>
      <c r="G28">
        <v>0.20157001310815101</v>
      </c>
    </row>
    <row r="29" spans="1:7" x14ac:dyDescent="0.2">
      <c r="A29">
        <v>1.1200000000000001</v>
      </c>
      <c r="B29">
        <v>89.159999999999897</v>
      </c>
      <c r="C29">
        <v>0.17782647113844299</v>
      </c>
      <c r="D29" s="1">
        <v>62.841934906503603</v>
      </c>
      <c r="E29">
        <v>0.11602498638645201</v>
      </c>
      <c r="F29">
        <v>25.651987592207998</v>
      </c>
      <c r="G29">
        <v>0.34187425681269301</v>
      </c>
    </row>
    <row r="30" spans="1:7" x14ac:dyDescent="0.2">
      <c r="A30">
        <v>1.1599999999999999</v>
      </c>
      <c r="B30" s="1">
        <v>118.08</v>
      </c>
      <c r="C30">
        <v>0.164221454957753</v>
      </c>
      <c r="D30" s="1">
        <v>54.479698909087197</v>
      </c>
      <c r="E30">
        <v>7.7870986470493994E-2</v>
      </c>
      <c r="F30">
        <v>28.271728387925702</v>
      </c>
      <c r="G30">
        <v>0.30081729365648202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</vt:lpstr>
      <vt:lpstr>v0</vt:lpstr>
      <vt:lpstr>κ</vt:lpstr>
      <vt:lpstr>omega</vt:lpstr>
      <vt:lpstr>beta</vt:lpstr>
      <vt:lpstr>Sigmaxy</vt:lpstr>
      <vt:lpstr>Sigmav</vt:lpstr>
      <vt:lpstr>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2025-09-04T18:42:16Z</dcterms:modified>
</cp:coreProperties>
</file>